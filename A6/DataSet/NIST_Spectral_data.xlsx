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ty/Experiment_A/A6/DataSet/"/>
    </mc:Choice>
  </mc:AlternateContent>
  <xr:revisionPtr revIDLastSave="0" documentId="13_ncr:1_{3A43DC12-404B-9E48-971C-4F34FB1DF77B}" xr6:coauthVersionLast="47" xr6:coauthVersionMax="47" xr10:uidLastSave="{00000000-0000-0000-0000-000000000000}"/>
  <bookViews>
    <workbookView xWindow="0" yWindow="720" windowWidth="29400" windowHeight="18400" xr2:uid="{E8E28B81-AED1-B843-8A82-6067EB51DB70}"/>
  </bookViews>
  <sheets>
    <sheet name="Cu-I" sheetId="1" r:id="rId1"/>
    <sheet name="Fe-I" sheetId="2" r:id="rId2"/>
    <sheet name="Si-I" sheetId="3" r:id="rId3"/>
    <sheet name="C-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D2" i="2"/>
  <c r="E2" i="2"/>
  <c r="H2" i="2" s="1"/>
  <c r="A3" i="2"/>
  <c r="B3" i="2"/>
  <c r="D3" i="2"/>
  <c r="E3" i="2"/>
  <c r="H3" i="2" s="1"/>
  <c r="A4" i="2"/>
  <c r="B4" i="2"/>
  <c r="D4" i="2"/>
  <c r="E4" i="2"/>
  <c r="H4" i="2" s="1"/>
  <c r="A5" i="2"/>
  <c r="B5" i="2"/>
  <c r="D5" i="2"/>
  <c r="E5" i="2"/>
  <c r="H5" i="2" s="1"/>
  <c r="A6" i="2"/>
  <c r="B6" i="2"/>
  <c r="D6" i="2"/>
  <c r="E6" i="2"/>
  <c r="H6" i="2" s="1"/>
  <c r="A7" i="2"/>
  <c r="B7" i="2"/>
  <c r="D7" i="2"/>
  <c r="E7" i="2"/>
  <c r="H7" i="2" s="1"/>
  <c r="A8" i="2"/>
  <c r="B8" i="2"/>
  <c r="D8" i="2"/>
  <c r="E8" i="2"/>
  <c r="H8" i="2" s="1"/>
  <c r="A9" i="2"/>
  <c r="B9" i="2"/>
  <c r="D9" i="2"/>
  <c r="E9" i="2"/>
  <c r="H9" i="2" s="1"/>
  <c r="A10" i="2"/>
  <c r="B10" i="2"/>
  <c r="D10" i="2"/>
  <c r="E10" i="2"/>
  <c r="H10" i="2" s="1"/>
  <c r="A11" i="2"/>
  <c r="B11" i="2"/>
  <c r="D11" i="2"/>
  <c r="E11" i="2"/>
  <c r="H11" i="2" s="1"/>
  <c r="A12" i="2"/>
  <c r="B12" i="2"/>
  <c r="D12" i="2"/>
  <c r="E12" i="2"/>
  <c r="H12" i="2" s="1"/>
  <c r="A13" i="2"/>
  <c r="B13" i="2"/>
  <c r="D13" i="2"/>
  <c r="E13" i="2"/>
  <c r="H13" i="2" s="1"/>
  <c r="A14" i="2"/>
  <c r="B14" i="2"/>
  <c r="D14" i="2"/>
  <c r="E14" i="2"/>
  <c r="H14" i="2" s="1"/>
  <c r="A15" i="2"/>
  <c r="B15" i="2"/>
  <c r="D15" i="2"/>
  <c r="E15" i="2"/>
  <c r="H15" i="2" s="1"/>
  <c r="A16" i="2"/>
  <c r="B16" i="2"/>
  <c r="D16" i="2"/>
  <c r="E16" i="2"/>
  <c r="H16" i="2" s="1"/>
  <c r="A17" i="2"/>
  <c r="B17" i="2"/>
  <c r="D17" i="2"/>
  <c r="E17" i="2"/>
  <c r="H17" i="2" s="1"/>
  <c r="A18" i="2"/>
  <c r="B18" i="2"/>
  <c r="D18" i="2"/>
  <c r="E18" i="2"/>
  <c r="H18" i="2" s="1"/>
  <c r="A19" i="2"/>
  <c r="B19" i="2"/>
  <c r="D19" i="2"/>
  <c r="E19" i="2"/>
  <c r="H19" i="2" s="1"/>
  <c r="A20" i="2"/>
  <c r="B20" i="2"/>
  <c r="D20" i="2"/>
  <c r="E20" i="2"/>
  <c r="H20" i="2" s="1"/>
  <c r="A21" i="2"/>
  <c r="B21" i="2"/>
  <c r="D21" i="2"/>
  <c r="E21" i="2"/>
  <c r="H21" i="2" s="1"/>
  <c r="A22" i="2"/>
  <c r="B22" i="2"/>
  <c r="D22" i="2"/>
  <c r="E22" i="2"/>
  <c r="H22" i="2" s="1"/>
  <c r="A23" i="2"/>
  <c r="B23" i="2"/>
  <c r="D23" i="2"/>
  <c r="E23" i="2"/>
  <c r="H23" i="2" s="1"/>
  <c r="A24" i="2"/>
  <c r="B24" i="2"/>
  <c r="D24" i="2"/>
  <c r="E24" i="2"/>
  <c r="H24" i="2" s="1"/>
  <c r="A25" i="2"/>
  <c r="B25" i="2"/>
  <c r="D25" i="2"/>
  <c r="E25" i="2"/>
  <c r="H25" i="2" s="1"/>
  <c r="A26" i="2"/>
  <c r="B26" i="2"/>
  <c r="D26" i="2"/>
  <c r="E26" i="2"/>
  <c r="H26" i="2" s="1"/>
  <c r="A27" i="2"/>
  <c r="B27" i="2"/>
  <c r="D27" i="2"/>
  <c r="E27" i="2"/>
  <c r="H27" i="2" s="1"/>
  <c r="A28" i="2"/>
  <c r="B28" i="2"/>
  <c r="D28" i="2"/>
  <c r="E28" i="2"/>
  <c r="H28" i="2" s="1"/>
  <c r="A29" i="2"/>
  <c r="B29" i="2"/>
  <c r="D29" i="2"/>
  <c r="E29" i="2"/>
  <c r="H29" i="2" s="1"/>
  <c r="A30" i="2"/>
  <c r="B30" i="2"/>
  <c r="D30" i="2"/>
  <c r="E30" i="2"/>
  <c r="H30" i="2" s="1"/>
  <c r="A31" i="2"/>
  <c r="B31" i="2"/>
  <c r="D31" i="2"/>
  <c r="E31" i="2"/>
  <c r="H31" i="2" s="1"/>
  <c r="A32" i="2"/>
  <c r="B32" i="2"/>
  <c r="D32" i="2"/>
  <c r="E32" i="2"/>
  <c r="H32" i="2" s="1"/>
  <c r="A33" i="2"/>
  <c r="B33" i="2"/>
  <c r="D33" i="2"/>
  <c r="E33" i="2"/>
  <c r="H33" i="2" s="1"/>
  <c r="A34" i="2"/>
  <c r="B34" i="2"/>
  <c r="D34" i="2"/>
  <c r="E34" i="2"/>
  <c r="H34" i="2" s="1"/>
  <c r="A35" i="2"/>
  <c r="B35" i="2"/>
  <c r="D35" i="2"/>
  <c r="E35" i="2"/>
  <c r="H35" i="2" s="1"/>
  <c r="A36" i="2"/>
  <c r="B36" i="2"/>
  <c r="D36" i="2"/>
  <c r="E36" i="2"/>
  <c r="H36" i="2" s="1"/>
  <c r="A37" i="2"/>
  <c r="B37" i="2"/>
  <c r="D37" i="2"/>
  <c r="E37" i="2"/>
  <c r="H37" i="2" s="1"/>
  <c r="A38" i="2"/>
  <c r="B38" i="2"/>
  <c r="D38" i="2"/>
  <c r="E38" i="2"/>
  <c r="H38" i="2" s="1"/>
  <c r="A39" i="2"/>
  <c r="B39" i="2"/>
  <c r="D39" i="2"/>
  <c r="E39" i="2"/>
  <c r="H39" i="2" s="1"/>
  <c r="A40" i="2"/>
  <c r="B40" i="2"/>
  <c r="D40" i="2"/>
  <c r="E40" i="2"/>
  <c r="H40" i="2" s="1"/>
  <c r="A41" i="2"/>
  <c r="B41" i="2"/>
  <c r="D41" i="2"/>
  <c r="E41" i="2"/>
  <c r="H41" i="2" s="1"/>
  <c r="A42" i="2"/>
  <c r="B42" i="2"/>
  <c r="D42" i="2"/>
  <c r="E42" i="2"/>
  <c r="H42" i="2" s="1"/>
  <c r="A43" i="2"/>
  <c r="B43" i="2"/>
  <c r="D43" i="2"/>
  <c r="E43" i="2"/>
  <c r="H43" i="2" s="1"/>
  <c r="A44" i="2"/>
  <c r="B44" i="2"/>
  <c r="D44" i="2"/>
  <c r="E44" i="2"/>
  <c r="H44" i="2" s="1"/>
  <c r="A45" i="2"/>
  <c r="B45" i="2"/>
  <c r="D45" i="2"/>
  <c r="E45" i="2"/>
  <c r="H45" i="2" s="1"/>
  <c r="A46" i="2"/>
  <c r="B46" i="2"/>
  <c r="D46" i="2"/>
  <c r="E46" i="2"/>
  <c r="H46" i="2" s="1"/>
  <c r="A47" i="2"/>
  <c r="B47" i="2"/>
  <c r="D47" i="2"/>
  <c r="E47" i="2"/>
  <c r="H47" i="2" s="1"/>
  <c r="A48" i="2"/>
  <c r="B48" i="2"/>
  <c r="D48" i="2"/>
  <c r="E48" i="2"/>
  <c r="H48" i="2" s="1"/>
  <c r="A49" i="2"/>
  <c r="B49" i="2"/>
  <c r="D49" i="2"/>
  <c r="E49" i="2"/>
  <c r="H49" i="2" s="1"/>
  <c r="A50" i="2"/>
  <c r="B50" i="2"/>
  <c r="D50" i="2"/>
  <c r="E50" i="2"/>
  <c r="H50" i="2" s="1"/>
  <c r="A51" i="2"/>
  <c r="B51" i="2"/>
  <c r="D51" i="2"/>
  <c r="E51" i="2"/>
  <c r="H51" i="2" s="1"/>
  <c r="A52" i="2"/>
  <c r="B52" i="2"/>
  <c r="D52" i="2"/>
  <c r="E52" i="2"/>
  <c r="H52" i="2" s="1"/>
  <c r="A53" i="2"/>
  <c r="B53" i="2"/>
  <c r="D53" i="2"/>
  <c r="E53" i="2"/>
  <c r="H53" i="2" s="1"/>
  <c r="A54" i="2"/>
  <c r="B54" i="2"/>
  <c r="D54" i="2"/>
  <c r="E54" i="2"/>
  <c r="H54" i="2" s="1"/>
  <c r="A55" i="2"/>
  <c r="B55" i="2"/>
  <c r="D55" i="2"/>
  <c r="E55" i="2"/>
  <c r="H55" i="2" s="1"/>
  <c r="A56" i="2"/>
  <c r="B56" i="2"/>
  <c r="D56" i="2"/>
  <c r="E56" i="2"/>
  <c r="H56" i="2" s="1"/>
  <c r="A57" i="2"/>
  <c r="B57" i="2"/>
  <c r="D57" i="2"/>
  <c r="E57" i="2"/>
  <c r="H57" i="2" s="1"/>
  <c r="A58" i="2"/>
  <c r="B58" i="2"/>
  <c r="D58" i="2"/>
  <c r="E58" i="2"/>
  <c r="H58" i="2" s="1"/>
  <c r="A59" i="2"/>
  <c r="B59" i="2"/>
  <c r="D59" i="2"/>
  <c r="E59" i="2"/>
  <c r="H59" i="2" s="1"/>
  <c r="A60" i="2"/>
  <c r="B60" i="2"/>
  <c r="D60" i="2"/>
  <c r="E60" i="2"/>
  <c r="H60" i="2" s="1"/>
  <c r="A61" i="2"/>
  <c r="B61" i="2"/>
  <c r="D61" i="2"/>
  <c r="E61" i="2"/>
  <c r="H61" i="2" s="1"/>
  <c r="A62" i="2"/>
  <c r="B62" i="2"/>
  <c r="D62" i="2"/>
  <c r="E62" i="2"/>
  <c r="H62" i="2" s="1"/>
  <c r="A63" i="2"/>
  <c r="B63" i="2"/>
  <c r="D63" i="2"/>
  <c r="E63" i="2"/>
  <c r="H63" i="2" s="1"/>
  <c r="A64" i="2"/>
  <c r="B64" i="2"/>
  <c r="D64" i="2"/>
  <c r="E64" i="2"/>
  <c r="H64" i="2" s="1"/>
  <c r="A65" i="2"/>
  <c r="B65" i="2"/>
  <c r="D65" i="2"/>
  <c r="E65" i="2"/>
  <c r="H65" i="2" s="1"/>
  <c r="A66" i="2"/>
  <c r="B66" i="2"/>
  <c r="D66" i="2"/>
  <c r="E66" i="2"/>
  <c r="H66" i="2" s="1"/>
  <c r="A67" i="2"/>
  <c r="B67" i="2"/>
  <c r="D67" i="2"/>
  <c r="E67" i="2"/>
  <c r="H67" i="2" s="1"/>
  <c r="A68" i="2"/>
  <c r="B68" i="2"/>
  <c r="D68" i="2"/>
  <c r="E68" i="2"/>
  <c r="H68" i="2" s="1"/>
  <c r="A69" i="2"/>
  <c r="B69" i="2"/>
  <c r="D69" i="2"/>
  <c r="E69" i="2"/>
  <c r="H69" i="2" s="1"/>
  <c r="A70" i="2"/>
  <c r="B70" i="2"/>
  <c r="D70" i="2"/>
  <c r="E70" i="2"/>
  <c r="H70" i="2" s="1"/>
  <c r="A71" i="2"/>
  <c r="B71" i="2"/>
  <c r="D71" i="2"/>
  <c r="E71" i="2"/>
  <c r="H71" i="2" s="1"/>
  <c r="A72" i="2"/>
  <c r="B72" i="2"/>
  <c r="D72" i="2"/>
  <c r="E72" i="2"/>
  <c r="H72" i="2" s="1"/>
  <c r="A73" i="2"/>
  <c r="B73" i="2"/>
  <c r="D73" i="2"/>
  <c r="E73" i="2"/>
  <c r="H73" i="2" s="1"/>
  <c r="A74" i="2"/>
  <c r="B74" i="2"/>
  <c r="D74" i="2"/>
  <c r="E74" i="2"/>
  <c r="H74" i="2" s="1"/>
  <c r="A75" i="2"/>
  <c r="B75" i="2"/>
  <c r="D75" i="2"/>
  <c r="E75" i="2"/>
  <c r="H75" i="2" s="1"/>
  <c r="A76" i="2"/>
  <c r="B76" i="2"/>
  <c r="D76" i="2"/>
  <c r="E76" i="2"/>
  <c r="H76" i="2" s="1"/>
  <c r="A77" i="2"/>
  <c r="B77" i="2"/>
  <c r="D77" i="2"/>
  <c r="E77" i="2"/>
  <c r="H77" i="2" s="1"/>
  <c r="A78" i="2"/>
  <c r="B78" i="2"/>
  <c r="D78" i="2"/>
  <c r="E78" i="2"/>
  <c r="H78" i="2" s="1"/>
  <c r="A79" i="2"/>
  <c r="B79" i="2"/>
  <c r="D79" i="2"/>
  <c r="E79" i="2"/>
  <c r="H79" i="2" s="1"/>
  <c r="A80" i="2"/>
  <c r="B80" i="2"/>
  <c r="D80" i="2"/>
  <c r="E80" i="2"/>
  <c r="H80" i="2" s="1"/>
  <c r="A81" i="2"/>
  <c r="B81" i="2"/>
  <c r="D81" i="2"/>
  <c r="E81" i="2"/>
  <c r="H81" i="2" s="1"/>
  <c r="A82" i="2"/>
  <c r="B82" i="2"/>
  <c r="D82" i="2"/>
  <c r="E82" i="2"/>
  <c r="H82" i="2" s="1"/>
  <c r="A83" i="2"/>
  <c r="B83" i="2"/>
  <c r="D83" i="2"/>
  <c r="E83" i="2"/>
  <c r="H83" i="2" s="1"/>
  <c r="A84" i="2"/>
  <c r="B84" i="2"/>
  <c r="D84" i="2"/>
  <c r="E84" i="2"/>
  <c r="H84" i="2" s="1"/>
  <c r="A85" i="2"/>
  <c r="B85" i="2"/>
  <c r="D85" i="2"/>
  <c r="E85" i="2"/>
  <c r="H85" i="2" s="1"/>
  <c r="A86" i="2"/>
  <c r="B86" i="2"/>
  <c r="D86" i="2"/>
  <c r="E86" i="2"/>
  <c r="H86" i="2" s="1"/>
  <c r="A87" i="2"/>
  <c r="B87" i="2"/>
  <c r="D87" i="2"/>
  <c r="E87" i="2"/>
  <c r="H87" i="2" s="1"/>
  <c r="A88" i="2"/>
  <c r="B88" i="2"/>
  <c r="D88" i="2"/>
  <c r="E88" i="2"/>
  <c r="H88" i="2" s="1"/>
  <c r="A89" i="2"/>
  <c r="B89" i="2"/>
  <c r="D89" i="2"/>
  <c r="E89" i="2"/>
  <c r="H89" i="2" s="1"/>
  <c r="A90" i="2"/>
  <c r="B90" i="2"/>
  <c r="D90" i="2"/>
  <c r="E90" i="2"/>
  <c r="H90" i="2" s="1"/>
  <c r="A91" i="2"/>
  <c r="B91" i="2"/>
  <c r="D91" i="2"/>
  <c r="E91" i="2"/>
  <c r="H91" i="2" s="1"/>
  <c r="A92" i="2"/>
  <c r="B92" i="2"/>
  <c r="D92" i="2"/>
  <c r="E92" i="2"/>
  <c r="H92" i="2" s="1"/>
  <c r="A93" i="2"/>
  <c r="B93" i="2"/>
  <c r="D93" i="2"/>
  <c r="E93" i="2"/>
  <c r="H93" i="2" s="1"/>
  <c r="A94" i="2"/>
  <c r="B94" i="2"/>
  <c r="D94" i="2"/>
  <c r="E94" i="2"/>
  <c r="H94" i="2" s="1"/>
  <c r="A95" i="2"/>
  <c r="B95" i="2"/>
  <c r="D95" i="2"/>
  <c r="E95" i="2"/>
  <c r="H95" i="2" s="1"/>
  <c r="A96" i="2"/>
  <c r="B96" i="2"/>
  <c r="D96" i="2"/>
  <c r="E96" i="2"/>
  <c r="H96" i="2" s="1"/>
  <c r="A97" i="2"/>
  <c r="B97" i="2"/>
  <c r="D97" i="2"/>
  <c r="E97" i="2"/>
  <c r="H97" i="2" s="1"/>
  <c r="A98" i="2"/>
  <c r="B98" i="2"/>
  <c r="D98" i="2"/>
  <c r="E98" i="2"/>
  <c r="H98" i="2" s="1"/>
  <c r="A99" i="2"/>
  <c r="B99" i="2"/>
  <c r="D99" i="2"/>
  <c r="E99" i="2"/>
  <c r="H99" i="2" s="1"/>
  <c r="A100" i="2"/>
  <c r="B100" i="2"/>
  <c r="D100" i="2"/>
  <c r="E100" i="2"/>
  <c r="H100" i="2" s="1"/>
  <c r="A101" i="2"/>
  <c r="B101" i="2"/>
  <c r="D101" i="2"/>
  <c r="E101" i="2"/>
  <c r="H101" i="2" s="1"/>
  <c r="A102" i="2"/>
  <c r="B102" i="2"/>
  <c r="D102" i="2"/>
  <c r="E102" i="2"/>
  <c r="H102" i="2" s="1"/>
  <c r="A103" i="2"/>
  <c r="B103" i="2"/>
  <c r="D103" i="2"/>
  <c r="E103" i="2"/>
  <c r="H103" i="2" s="1"/>
  <c r="A104" i="2"/>
  <c r="B104" i="2"/>
  <c r="D104" i="2"/>
  <c r="E104" i="2"/>
  <c r="H104" i="2" s="1"/>
  <c r="A105" i="2"/>
  <c r="B105" i="2"/>
  <c r="D105" i="2"/>
  <c r="E105" i="2"/>
  <c r="H105" i="2" s="1"/>
  <c r="A106" i="2"/>
  <c r="B106" i="2"/>
  <c r="D106" i="2"/>
  <c r="E106" i="2"/>
  <c r="H106" i="2" s="1"/>
  <c r="A107" i="2"/>
  <c r="B107" i="2"/>
  <c r="D107" i="2"/>
  <c r="E107" i="2"/>
  <c r="H107" i="2" s="1"/>
  <c r="A108" i="2"/>
  <c r="B108" i="2"/>
  <c r="D108" i="2"/>
  <c r="E108" i="2"/>
  <c r="H108" i="2" s="1"/>
  <c r="A109" i="2"/>
  <c r="B109" i="2"/>
  <c r="D109" i="2"/>
  <c r="E109" i="2"/>
  <c r="H109" i="2" s="1"/>
  <c r="A110" i="2"/>
  <c r="B110" i="2"/>
  <c r="D110" i="2"/>
  <c r="E110" i="2"/>
  <c r="H110" i="2" s="1"/>
  <c r="A111" i="2"/>
  <c r="B111" i="2"/>
  <c r="D111" i="2"/>
  <c r="E111" i="2"/>
  <c r="H111" i="2" s="1"/>
  <c r="A112" i="2"/>
  <c r="B112" i="2"/>
  <c r="D112" i="2"/>
  <c r="E112" i="2"/>
  <c r="H112" i="2" s="1"/>
  <c r="A113" i="2"/>
  <c r="B113" i="2"/>
  <c r="D113" i="2"/>
  <c r="E113" i="2"/>
  <c r="H113" i="2" s="1"/>
  <c r="A114" i="2"/>
  <c r="B114" i="2"/>
  <c r="D114" i="2"/>
  <c r="E114" i="2"/>
  <c r="H114" i="2" s="1"/>
  <c r="A115" i="2"/>
  <c r="B115" i="2"/>
  <c r="D115" i="2"/>
  <c r="E115" i="2"/>
  <c r="H115" i="2" s="1"/>
  <c r="A116" i="2"/>
  <c r="B116" i="2"/>
  <c r="D116" i="2"/>
  <c r="E116" i="2"/>
  <c r="H116" i="2" s="1"/>
  <c r="A117" i="2"/>
  <c r="B117" i="2"/>
  <c r="D117" i="2"/>
  <c r="E117" i="2"/>
  <c r="H117" i="2" s="1"/>
  <c r="A118" i="2"/>
  <c r="B118" i="2"/>
  <c r="D118" i="2"/>
  <c r="E118" i="2"/>
  <c r="H118" i="2" s="1"/>
  <c r="A119" i="2"/>
  <c r="B119" i="2"/>
  <c r="D119" i="2"/>
  <c r="E119" i="2"/>
  <c r="H119" i="2" s="1"/>
  <c r="A120" i="2"/>
  <c r="B120" i="2"/>
  <c r="D120" i="2"/>
  <c r="E120" i="2"/>
  <c r="H120" i="2" s="1"/>
  <c r="A121" i="2"/>
  <c r="B121" i="2"/>
  <c r="D121" i="2"/>
  <c r="E121" i="2"/>
  <c r="H121" i="2" s="1"/>
  <c r="A122" i="2"/>
  <c r="B122" i="2"/>
  <c r="D122" i="2"/>
  <c r="E122" i="2"/>
  <c r="H122" i="2" s="1"/>
  <c r="A123" i="2"/>
  <c r="B123" i="2"/>
  <c r="D123" i="2"/>
  <c r="E123" i="2"/>
  <c r="H123" i="2" s="1"/>
  <c r="A124" i="2"/>
  <c r="B124" i="2"/>
  <c r="D124" i="2"/>
  <c r="E124" i="2"/>
  <c r="H124" i="2" s="1"/>
  <c r="A125" i="2"/>
  <c r="B125" i="2"/>
  <c r="D125" i="2"/>
  <c r="E125" i="2"/>
  <c r="H125" i="2" s="1"/>
  <c r="A126" i="2"/>
  <c r="B126" i="2"/>
  <c r="D126" i="2"/>
  <c r="E126" i="2"/>
  <c r="H126" i="2" s="1"/>
  <c r="A127" i="2"/>
  <c r="B127" i="2"/>
  <c r="D127" i="2"/>
  <c r="E127" i="2"/>
  <c r="H127" i="2" s="1"/>
  <c r="A128" i="2"/>
  <c r="B128" i="2"/>
  <c r="D128" i="2"/>
  <c r="E128" i="2"/>
  <c r="H128" i="2" s="1"/>
  <c r="A129" i="2"/>
  <c r="B129" i="2"/>
  <c r="D129" i="2"/>
  <c r="E129" i="2"/>
  <c r="H129" i="2" s="1"/>
  <c r="A130" i="2"/>
  <c r="B130" i="2"/>
  <c r="D130" i="2"/>
  <c r="E130" i="2"/>
  <c r="H130" i="2" s="1"/>
  <c r="A131" i="2"/>
  <c r="B131" i="2"/>
  <c r="D131" i="2"/>
  <c r="E131" i="2"/>
  <c r="H131" i="2" s="1"/>
  <c r="A132" i="2"/>
  <c r="B132" i="2"/>
  <c r="D132" i="2"/>
  <c r="E132" i="2"/>
  <c r="H132" i="2" s="1"/>
  <c r="A133" i="2"/>
  <c r="B133" i="2"/>
  <c r="D133" i="2"/>
  <c r="E133" i="2"/>
  <c r="H133" i="2" s="1"/>
  <c r="A134" i="2"/>
  <c r="B134" i="2"/>
  <c r="D134" i="2"/>
  <c r="E134" i="2"/>
  <c r="H134" i="2" s="1"/>
  <c r="A135" i="2"/>
  <c r="B135" i="2"/>
  <c r="D135" i="2"/>
  <c r="E135" i="2"/>
  <c r="H135" i="2" s="1"/>
  <c r="A136" i="2"/>
  <c r="B136" i="2"/>
  <c r="D136" i="2"/>
  <c r="E136" i="2"/>
  <c r="H136" i="2" s="1"/>
  <c r="A137" i="2"/>
  <c r="B137" i="2"/>
  <c r="D137" i="2"/>
  <c r="E137" i="2"/>
  <c r="H137" i="2" s="1"/>
  <c r="A138" i="2"/>
  <c r="B138" i="2"/>
  <c r="D138" i="2"/>
  <c r="E138" i="2"/>
  <c r="H138" i="2" s="1"/>
  <c r="A139" i="2"/>
  <c r="B139" i="2"/>
  <c r="D139" i="2"/>
  <c r="E139" i="2"/>
  <c r="H139" i="2" s="1"/>
  <c r="A140" i="2"/>
  <c r="B140" i="2"/>
  <c r="D140" i="2"/>
  <c r="E140" i="2"/>
  <c r="H140" i="2" s="1"/>
  <c r="A141" i="2"/>
  <c r="B141" i="2"/>
  <c r="D141" i="2"/>
  <c r="E141" i="2"/>
  <c r="H141" i="2" s="1"/>
  <c r="A142" i="2"/>
  <c r="B142" i="2"/>
  <c r="D142" i="2"/>
  <c r="E142" i="2"/>
  <c r="H142" i="2" s="1"/>
  <c r="A143" i="2"/>
  <c r="B143" i="2"/>
  <c r="D143" i="2"/>
  <c r="E143" i="2"/>
  <c r="H143" i="2" s="1"/>
  <c r="A144" i="2"/>
  <c r="B144" i="2"/>
  <c r="D144" i="2"/>
  <c r="E144" i="2"/>
  <c r="H144" i="2" s="1"/>
  <c r="A145" i="2"/>
  <c r="B145" i="2"/>
  <c r="D145" i="2"/>
  <c r="E145" i="2"/>
  <c r="H145" i="2" s="1"/>
  <c r="A146" i="2"/>
  <c r="B146" i="2"/>
  <c r="D146" i="2"/>
  <c r="E146" i="2"/>
  <c r="H146" i="2" s="1"/>
  <c r="A147" i="2"/>
  <c r="B147" i="2"/>
  <c r="D147" i="2"/>
  <c r="E147" i="2"/>
  <c r="H147" i="2" s="1"/>
  <c r="A148" i="2"/>
  <c r="B148" i="2"/>
  <c r="D148" i="2"/>
  <c r="E148" i="2"/>
  <c r="H148" i="2" s="1"/>
  <c r="A149" i="2"/>
  <c r="B149" i="2"/>
  <c r="D149" i="2"/>
  <c r="E149" i="2"/>
  <c r="H149" i="2" s="1"/>
  <c r="A150" i="2"/>
  <c r="B150" i="2"/>
  <c r="D150" i="2"/>
  <c r="E150" i="2"/>
  <c r="H150" i="2" s="1"/>
  <c r="A151" i="2"/>
  <c r="B151" i="2"/>
  <c r="D151" i="2"/>
  <c r="E151" i="2"/>
  <c r="H151" i="2" s="1"/>
  <c r="A152" i="2"/>
  <c r="B152" i="2"/>
  <c r="D152" i="2"/>
  <c r="E152" i="2"/>
  <c r="H152" i="2" s="1"/>
  <c r="A153" i="2"/>
  <c r="B153" i="2"/>
  <c r="D153" i="2"/>
  <c r="E153" i="2"/>
  <c r="H153" i="2" s="1"/>
  <c r="A154" i="2"/>
  <c r="B154" i="2"/>
  <c r="D154" i="2"/>
  <c r="E154" i="2"/>
  <c r="H154" i="2" s="1"/>
  <c r="A155" i="2"/>
  <c r="B155" i="2"/>
  <c r="D155" i="2"/>
  <c r="E155" i="2"/>
  <c r="H155" i="2" s="1"/>
  <c r="A156" i="2"/>
  <c r="B156" i="2"/>
  <c r="D156" i="2"/>
  <c r="E156" i="2"/>
  <c r="H156" i="2" s="1"/>
  <c r="A157" i="2"/>
  <c r="B157" i="2"/>
  <c r="D157" i="2"/>
  <c r="E157" i="2"/>
  <c r="H157" i="2" s="1"/>
  <c r="A158" i="2"/>
  <c r="B158" i="2"/>
  <c r="D158" i="2"/>
  <c r="E158" i="2"/>
  <c r="H158" i="2" s="1"/>
  <c r="A159" i="2"/>
  <c r="B159" i="2"/>
  <c r="D159" i="2"/>
  <c r="E159" i="2"/>
  <c r="H159" i="2" s="1"/>
  <c r="A160" i="2"/>
  <c r="B160" i="2"/>
  <c r="D160" i="2"/>
  <c r="E160" i="2"/>
  <c r="H160" i="2" s="1"/>
  <c r="A161" i="2"/>
  <c r="B161" i="2"/>
  <c r="D161" i="2"/>
  <c r="E161" i="2"/>
  <c r="H161" i="2" s="1"/>
  <c r="A162" i="2"/>
  <c r="B162" i="2"/>
  <c r="D162" i="2"/>
  <c r="E162" i="2"/>
  <c r="H162" i="2" s="1"/>
  <c r="A163" i="2"/>
  <c r="B163" i="2"/>
  <c r="D163" i="2"/>
  <c r="E163" i="2"/>
  <c r="H163" i="2" s="1"/>
  <c r="A164" i="2"/>
  <c r="B164" i="2"/>
  <c r="D164" i="2"/>
  <c r="E164" i="2"/>
  <c r="H164" i="2" s="1"/>
  <c r="A165" i="2"/>
  <c r="B165" i="2"/>
  <c r="D165" i="2"/>
  <c r="E165" i="2"/>
  <c r="H165" i="2" s="1"/>
  <c r="A166" i="2"/>
  <c r="B166" i="2"/>
  <c r="D166" i="2"/>
  <c r="E166" i="2"/>
  <c r="H166" i="2" s="1"/>
  <c r="A167" i="2"/>
  <c r="B167" i="2"/>
  <c r="D167" i="2"/>
  <c r="E167" i="2"/>
  <c r="H167" i="2" s="1"/>
  <c r="A168" i="2"/>
  <c r="B168" i="2"/>
  <c r="D168" i="2"/>
  <c r="E168" i="2"/>
  <c r="H168" i="2" s="1"/>
  <c r="A169" i="2"/>
  <c r="B169" i="2"/>
  <c r="D169" i="2"/>
  <c r="E169" i="2"/>
  <c r="H169" i="2" s="1"/>
  <c r="A170" i="2"/>
  <c r="B170" i="2"/>
  <c r="D170" i="2"/>
  <c r="E170" i="2"/>
  <c r="H170" i="2" s="1"/>
  <c r="A171" i="2"/>
  <c r="B171" i="2"/>
  <c r="D171" i="2"/>
  <c r="E171" i="2"/>
  <c r="H171" i="2" s="1"/>
  <c r="A172" i="2"/>
  <c r="B172" i="2"/>
  <c r="D172" i="2"/>
  <c r="E172" i="2"/>
  <c r="H172" i="2" s="1"/>
  <c r="A173" i="2"/>
  <c r="B173" i="2"/>
  <c r="D173" i="2"/>
  <c r="E173" i="2"/>
  <c r="H173" i="2" s="1"/>
  <c r="A174" i="2"/>
  <c r="B174" i="2"/>
  <c r="D174" i="2"/>
  <c r="E174" i="2"/>
  <c r="H174" i="2" s="1"/>
  <c r="A175" i="2"/>
  <c r="B175" i="2"/>
  <c r="D175" i="2"/>
  <c r="E175" i="2"/>
  <c r="H175" i="2" s="1"/>
  <c r="A176" i="2"/>
  <c r="B176" i="2"/>
  <c r="D176" i="2"/>
  <c r="E176" i="2"/>
  <c r="H176" i="2" s="1"/>
  <c r="A177" i="2"/>
  <c r="B177" i="2"/>
  <c r="D177" i="2"/>
  <c r="E177" i="2"/>
  <c r="H177" i="2" s="1"/>
  <c r="A178" i="2"/>
  <c r="B178" i="2"/>
  <c r="D178" i="2"/>
  <c r="E178" i="2"/>
  <c r="H178" i="2" s="1"/>
  <c r="A179" i="2"/>
  <c r="B179" i="2"/>
  <c r="D179" i="2"/>
  <c r="E179" i="2"/>
  <c r="H179" i="2" s="1"/>
  <c r="A180" i="2"/>
  <c r="B180" i="2"/>
  <c r="D180" i="2"/>
  <c r="E180" i="2"/>
  <c r="H180" i="2" s="1"/>
  <c r="A181" i="2"/>
  <c r="B181" i="2"/>
  <c r="D181" i="2"/>
  <c r="E181" i="2"/>
  <c r="H181" i="2" s="1"/>
  <c r="A182" i="2"/>
  <c r="B182" i="2"/>
  <c r="D182" i="2"/>
  <c r="E182" i="2"/>
  <c r="H182" i="2" s="1"/>
  <c r="A183" i="2"/>
  <c r="B183" i="2"/>
  <c r="D183" i="2"/>
  <c r="E183" i="2"/>
  <c r="H183" i="2" s="1"/>
  <c r="A184" i="2"/>
  <c r="B184" i="2"/>
  <c r="D184" i="2"/>
  <c r="E184" i="2"/>
  <c r="H184" i="2" s="1"/>
  <c r="A185" i="2"/>
  <c r="B185" i="2"/>
  <c r="D185" i="2"/>
  <c r="E185" i="2"/>
  <c r="H185" i="2" s="1"/>
  <c r="A186" i="2"/>
  <c r="B186" i="2"/>
  <c r="D186" i="2"/>
  <c r="E186" i="2"/>
  <c r="H186" i="2" s="1"/>
  <c r="A187" i="2"/>
  <c r="B187" i="2"/>
  <c r="D187" i="2"/>
  <c r="E187" i="2"/>
  <c r="H187" i="2" s="1"/>
  <c r="A188" i="2"/>
  <c r="B188" i="2"/>
  <c r="D188" i="2"/>
  <c r="E188" i="2"/>
  <c r="H188" i="2" s="1"/>
  <c r="A189" i="2"/>
  <c r="B189" i="2"/>
  <c r="D189" i="2"/>
  <c r="E189" i="2"/>
  <c r="H189" i="2" s="1"/>
  <c r="A190" i="2"/>
  <c r="B190" i="2"/>
  <c r="D190" i="2"/>
  <c r="E190" i="2"/>
  <c r="H190" i="2" s="1"/>
  <c r="A191" i="2"/>
  <c r="B191" i="2"/>
  <c r="D191" i="2"/>
  <c r="E191" i="2"/>
  <c r="H191" i="2" s="1"/>
  <c r="A192" i="2"/>
  <c r="B192" i="2"/>
  <c r="D192" i="2"/>
  <c r="E192" i="2"/>
  <c r="H192" i="2" s="1"/>
  <c r="A193" i="2"/>
  <c r="B193" i="2"/>
  <c r="D193" i="2"/>
  <c r="E193" i="2"/>
  <c r="H193" i="2" s="1"/>
  <c r="A194" i="2"/>
  <c r="B194" i="2"/>
  <c r="D194" i="2"/>
  <c r="E194" i="2"/>
  <c r="H194" i="2" s="1"/>
  <c r="A195" i="2"/>
  <c r="B195" i="2"/>
  <c r="D195" i="2"/>
  <c r="E195" i="2"/>
  <c r="H195" i="2" s="1"/>
  <c r="A196" i="2"/>
  <c r="B196" i="2"/>
  <c r="D196" i="2"/>
  <c r="E196" i="2"/>
  <c r="H196" i="2" s="1"/>
  <c r="A197" i="2"/>
  <c r="B197" i="2"/>
  <c r="D197" i="2"/>
  <c r="E197" i="2"/>
  <c r="H197" i="2" s="1"/>
  <c r="A198" i="2"/>
  <c r="B198" i="2"/>
  <c r="D198" i="2"/>
  <c r="E198" i="2"/>
  <c r="H198" i="2" s="1"/>
  <c r="A199" i="2"/>
  <c r="B199" i="2"/>
  <c r="D199" i="2"/>
  <c r="E199" i="2"/>
  <c r="H199" i="2" s="1"/>
  <c r="A200" i="2"/>
  <c r="B200" i="2"/>
  <c r="D200" i="2"/>
  <c r="E200" i="2"/>
  <c r="H200" i="2" s="1"/>
  <c r="A201" i="2"/>
  <c r="B201" i="2"/>
  <c r="D201" i="2"/>
  <c r="E201" i="2"/>
  <c r="H201" i="2" s="1"/>
  <c r="A202" i="2"/>
  <c r="B202" i="2"/>
  <c r="D202" i="2"/>
  <c r="E202" i="2"/>
  <c r="H202" i="2" s="1"/>
  <c r="A203" i="2"/>
  <c r="B203" i="2"/>
  <c r="D203" i="2"/>
  <c r="E203" i="2"/>
  <c r="H203" i="2" s="1"/>
  <c r="A204" i="2"/>
  <c r="B204" i="2"/>
  <c r="D204" i="2"/>
  <c r="E204" i="2"/>
  <c r="H204" i="2" s="1"/>
  <c r="A205" i="2"/>
  <c r="B205" i="2"/>
  <c r="D205" i="2"/>
  <c r="E205" i="2"/>
  <c r="H205" i="2" s="1"/>
  <c r="A206" i="2"/>
  <c r="B206" i="2"/>
  <c r="D206" i="2"/>
  <c r="E206" i="2"/>
  <c r="H206" i="2" s="1"/>
  <c r="A207" i="2"/>
  <c r="B207" i="2"/>
  <c r="D207" i="2"/>
  <c r="E207" i="2"/>
  <c r="H207" i="2" s="1"/>
  <c r="A208" i="2"/>
  <c r="B208" i="2"/>
  <c r="D208" i="2"/>
  <c r="E208" i="2"/>
  <c r="H208" i="2" s="1"/>
  <c r="A209" i="2"/>
  <c r="B209" i="2"/>
  <c r="D209" i="2"/>
  <c r="E209" i="2"/>
  <c r="H209" i="2" s="1"/>
  <c r="A210" i="2"/>
  <c r="B210" i="2"/>
  <c r="D210" i="2"/>
  <c r="E210" i="2"/>
  <c r="H210" i="2" s="1"/>
  <c r="A211" i="2"/>
  <c r="B211" i="2"/>
  <c r="D211" i="2"/>
  <c r="E211" i="2"/>
  <c r="H211" i="2" s="1"/>
  <c r="A212" i="2"/>
  <c r="B212" i="2"/>
  <c r="D212" i="2"/>
  <c r="E212" i="2"/>
  <c r="H212" i="2" s="1"/>
  <c r="A213" i="2"/>
  <c r="B213" i="2"/>
  <c r="D213" i="2"/>
  <c r="E213" i="2"/>
  <c r="H213" i="2" s="1"/>
  <c r="A214" i="2"/>
  <c r="B214" i="2"/>
  <c r="D214" i="2"/>
  <c r="E214" i="2"/>
  <c r="H214" i="2" s="1"/>
  <c r="A215" i="2"/>
  <c r="B215" i="2"/>
  <c r="D215" i="2"/>
  <c r="E215" i="2"/>
  <c r="H215" i="2" s="1"/>
  <c r="A216" i="2"/>
  <c r="B216" i="2"/>
  <c r="D216" i="2"/>
  <c r="E216" i="2"/>
  <c r="H216" i="2" s="1"/>
  <c r="A217" i="2"/>
  <c r="B217" i="2"/>
  <c r="D217" i="2"/>
  <c r="E217" i="2"/>
  <c r="H217" i="2" s="1"/>
  <c r="A218" i="2"/>
  <c r="B218" i="2"/>
  <c r="D218" i="2"/>
  <c r="E218" i="2"/>
  <c r="H218" i="2" s="1"/>
  <c r="A219" i="2"/>
  <c r="B219" i="2"/>
  <c r="D219" i="2"/>
  <c r="E219" i="2"/>
  <c r="H219" i="2" s="1"/>
  <c r="A220" i="2"/>
  <c r="B220" i="2"/>
  <c r="D220" i="2"/>
  <c r="E220" i="2"/>
  <c r="H220" i="2" s="1"/>
  <c r="A221" i="2"/>
  <c r="B221" i="2"/>
  <c r="D221" i="2"/>
  <c r="E221" i="2"/>
  <c r="H221" i="2" s="1"/>
  <c r="A222" i="2"/>
  <c r="B222" i="2"/>
  <c r="D222" i="2"/>
  <c r="E222" i="2"/>
  <c r="H222" i="2" s="1"/>
  <c r="A223" i="2"/>
  <c r="B223" i="2"/>
  <c r="D223" i="2"/>
  <c r="E223" i="2"/>
  <c r="H223" i="2" s="1"/>
  <c r="A224" i="2"/>
  <c r="B224" i="2"/>
  <c r="D224" i="2"/>
  <c r="E224" i="2"/>
  <c r="H224" i="2" s="1"/>
  <c r="A225" i="2"/>
  <c r="B225" i="2"/>
  <c r="D225" i="2"/>
  <c r="E225" i="2"/>
  <c r="H225" i="2" s="1"/>
  <c r="A226" i="2"/>
  <c r="B226" i="2"/>
  <c r="D226" i="2"/>
  <c r="E226" i="2"/>
  <c r="H226" i="2" s="1"/>
  <c r="A227" i="2"/>
  <c r="B227" i="2"/>
  <c r="D227" i="2"/>
  <c r="E227" i="2"/>
  <c r="H227" i="2" s="1"/>
  <c r="A228" i="2"/>
  <c r="B228" i="2"/>
  <c r="D228" i="2"/>
  <c r="E228" i="2"/>
  <c r="H228" i="2" s="1"/>
  <c r="A229" i="2"/>
  <c r="B229" i="2"/>
  <c r="D229" i="2"/>
  <c r="E229" i="2"/>
  <c r="H229" i="2" s="1"/>
  <c r="A230" i="2"/>
  <c r="B230" i="2"/>
  <c r="D230" i="2"/>
  <c r="E230" i="2"/>
  <c r="H230" i="2" s="1"/>
  <c r="A231" i="2"/>
  <c r="B231" i="2"/>
  <c r="D231" i="2"/>
  <c r="E231" i="2"/>
  <c r="H231" i="2" s="1"/>
  <c r="A232" i="2"/>
  <c r="B232" i="2"/>
  <c r="D232" i="2"/>
  <c r="E232" i="2"/>
  <c r="H232" i="2" s="1"/>
  <c r="A233" i="2"/>
  <c r="B233" i="2"/>
  <c r="D233" i="2"/>
  <c r="E233" i="2"/>
  <c r="H233" i="2" s="1"/>
  <c r="A234" i="2"/>
  <c r="B234" i="2"/>
  <c r="D234" i="2"/>
  <c r="E234" i="2"/>
  <c r="H234" i="2" s="1"/>
  <c r="A235" i="2"/>
  <c r="B235" i="2"/>
  <c r="D235" i="2"/>
  <c r="E235" i="2"/>
  <c r="H235" i="2" s="1"/>
  <c r="A236" i="2"/>
  <c r="B236" i="2"/>
  <c r="D236" i="2"/>
  <c r="E236" i="2"/>
  <c r="H236" i="2" s="1"/>
  <c r="A237" i="2"/>
  <c r="B237" i="2"/>
  <c r="D237" i="2"/>
  <c r="E237" i="2"/>
  <c r="H237" i="2" s="1"/>
  <c r="A238" i="2"/>
  <c r="B238" i="2"/>
  <c r="D238" i="2"/>
  <c r="E238" i="2"/>
  <c r="H238" i="2" s="1"/>
  <c r="A239" i="2"/>
  <c r="B239" i="2"/>
  <c r="D239" i="2"/>
  <c r="E239" i="2"/>
  <c r="H239" i="2" s="1"/>
  <c r="A240" i="2"/>
  <c r="B240" i="2"/>
  <c r="D240" i="2"/>
  <c r="E240" i="2"/>
  <c r="H240" i="2" s="1"/>
  <c r="A241" i="2"/>
  <c r="B241" i="2"/>
  <c r="D241" i="2"/>
  <c r="E241" i="2"/>
  <c r="H241" i="2" s="1"/>
  <c r="A242" i="2"/>
  <c r="B242" i="2"/>
  <c r="D242" i="2"/>
  <c r="E242" i="2"/>
  <c r="H242" i="2" s="1"/>
  <c r="A243" i="2"/>
  <c r="B243" i="2"/>
  <c r="D243" i="2"/>
  <c r="E243" i="2"/>
  <c r="H243" i="2" s="1"/>
  <c r="A244" i="2"/>
  <c r="B244" i="2"/>
  <c r="D244" i="2"/>
  <c r="E244" i="2"/>
  <c r="H244" i="2" s="1"/>
  <c r="A245" i="2"/>
  <c r="B245" i="2"/>
  <c r="D245" i="2"/>
  <c r="E245" i="2"/>
  <c r="H245" i="2" s="1"/>
  <c r="A246" i="2"/>
  <c r="B246" i="2"/>
  <c r="D246" i="2"/>
  <c r="E246" i="2"/>
  <c r="H246" i="2" s="1"/>
  <c r="A247" i="2"/>
  <c r="B247" i="2"/>
  <c r="D247" i="2"/>
  <c r="E247" i="2"/>
  <c r="H247" i="2" s="1"/>
  <c r="A248" i="2"/>
  <c r="B248" i="2"/>
  <c r="D248" i="2"/>
  <c r="E248" i="2"/>
  <c r="H248" i="2" s="1"/>
  <c r="A249" i="2"/>
  <c r="B249" i="2"/>
  <c r="D249" i="2"/>
  <c r="E249" i="2"/>
  <c r="H249" i="2" s="1"/>
  <c r="A250" i="2"/>
  <c r="B250" i="2"/>
  <c r="D250" i="2"/>
  <c r="E250" i="2"/>
  <c r="H250" i="2" s="1"/>
  <c r="A251" i="2"/>
  <c r="B251" i="2"/>
  <c r="D251" i="2"/>
  <c r="E251" i="2"/>
  <c r="H251" i="2" s="1"/>
  <c r="A252" i="2"/>
  <c r="B252" i="2"/>
  <c r="D252" i="2"/>
  <c r="E252" i="2"/>
  <c r="H252" i="2" s="1"/>
  <c r="A253" i="2"/>
  <c r="B253" i="2"/>
  <c r="D253" i="2"/>
  <c r="E253" i="2"/>
  <c r="H253" i="2" s="1"/>
  <c r="A254" i="2"/>
  <c r="B254" i="2"/>
  <c r="D254" i="2"/>
  <c r="E254" i="2"/>
  <c r="H254" i="2" s="1"/>
  <c r="A255" i="2"/>
  <c r="B255" i="2"/>
  <c r="D255" i="2"/>
  <c r="E255" i="2"/>
  <c r="H255" i="2" s="1"/>
  <c r="A256" i="2"/>
  <c r="B256" i="2"/>
  <c r="D256" i="2"/>
  <c r="E256" i="2"/>
  <c r="H256" i="2" s="1"/>
  <c r="A257" i="2"/>
  <c r="B257" i="2"/>
  <c r="D257" i="2"/>
  <c r="E257" i="2"/>
  <c r="H257" i="2" s="1"/>
  <c r="A258" i="2"/>
  <c r="B258" i="2"/>
  <c r="D258" i="2"/>
  <c r="E258" i="2"/>
  <c r="H258" i="2" s="1"/>
  <c r="A259" i="2"/>
  <c r="B259" i="2"/>
  <c r="D259" i="2"/>
  <c r="E259" i="2"/>
  <c r="H259" i="2" s="1"/>
  <c r="A260" i="2"/>
  <c r="B260" i="2"/>
  <c r="D260" i="2"/>
  <c r="E260" i="2"/>
  <c r="H260" i="2" s="1"/>
  <c r="A261" i="2"/>
  <c r="B261" i="2"/>
  <c r="D261" i="2"/>
  <c r="E261" i="2"/>
  <c r="H261" i="2" s="1"/>
  <c r="A262" i="2"/>
  <c r="B262" i="2"/>
  <c r="D262" i="2"/>
  <c r="E262" i="2"/>
  <c r="H262" i="2" s="1"/>
  <c r="A263" i="2"/>
  <c r="B263" i="2"/>
  <c r="D263" i="2"/>
  <c r="E263" i="2"/>
  <c r="H263" i="2" s="1"/>
  <c r="A264" i="2"/>
  <c r="B264" i="2"/>
  <c r="D264" i="2"/>
  <c r="E264" i="2"/>
  <c r="H264" i="2" s="1"/>
  <c r="A265" i="2"/>
  <c r="B265" i="2"/>
  <c r="D265" i="2"/>
  <c r="E265" i="2"/>
  <c r="H265" i="2" s="1"/>
  <c r="A266" i="2"/>
  <c r="B266" i="2"/>
  <c r="D266" i="2"/>
  <c r="E266" i="2"/>
  <c r="H266" i="2" s="1"/>
  <c r="A267" i="2"/>
  <c r="B267" i="2"/>
  <c r="D267" i="2"/>
  <c r="E267" i="2"/>
  <c r="H267" i="2" s="1"/>
  <c r="A268" i="2"/>
  <c r="B268" i="2"/>
  <c r="D268" i="2"/>
  <c r="E268" i="2"/>
  <c r="H268" i="2" s="1"/>
  <c r="A269" i="2"/>
  <c r="B269" i="2"/>
  <c r="D269" i="2"/>
  <c r="E269" i="2"/>
  <c r="H269" i="2" s="1"/>
  <c r="A270" i="2"/>
  <c r="B270" i="2"/>
  <c r="D270" i="2"/>
  <c r="E270" i="2"/>
  <c r="H270" i="2" s="1"/>
  <c r="A271" i="2"/>
  <c r="B271" i="2"/>
  <c r="D271" i="2"/>
  <c r="E271" i="2"/>
  <c r="H271" i="2" s="1"/>
  <c r="A272" i="2"/>
  <c r="B272" i="2"/>
  <c r="D272" i="2"/>
  <c r="E272" i="2"/>
  <c r="H272" i="2" s="1"/>
  <c r="A273" i="2"/>
  <c r="B273" i="2"/>
  <c r="D273" i="2"/>
  <c r="E273" i="2"/>
  <c r="H273" i="2" s="1"/>
  <c r="A274" i="2"/>
  <c r="B274" i="2"/>
  <c r="D274" i="2"/>
  <c r="E274" i="2"/>
  <c r="H274" i="2" s="1"/>
  <c r="A275" i="2"/>
  <c r="B275" i="2"/>
  <c r="D275" i="2"/>
  <c r="E275" i="2"/>
  <c r="H275" i="2" s="1"/>
  <c r="A276" i="2"/>
  <c r="B276" i="2"/>
  <c r="D276" i="2"/>
  <c r="E276" i="2"/>
  <c r="H276" i="2" s="1"/>
  <c r="A277" i="2"/>
  <c r="B277" i="2"/>
  <c r="D277" i="2"/>
  <c r="E277" i="2"/>
  <c r="H277" i="2" s="1"/>
  <c r="A278" i="2"/>
  <c r="B278" i="2"/>
  <c r="D278" i="2"/>
  <c r="E278" i="2"/>
  <c r="H278" i="2" s="1"/>
  <c r="A279" i="2"/>
  <c r="B279" i="2"/>
  <c r="D279" i="2"/>
  <c r="E279" i="2"/>
  <c r="H279" i="2" s="1"/>
  <c r="A280" i="2"/>
  <c r="B280" i="2"/>
  <c r="D280" i="2"/>
  <c r="E280" i="2"/>
  <c r="H280" i="2" s="1"/>
  <c r="A281" i="2"/>
  <c r="B281" i="2"/>
  <c r="D281" i="2"/>
  <c r="E281" i="2"/>
  <c r="H281" i="2" s="1"/>
  <c r="A282" i="2"/>
  <c r="B282" i="2"/>
  <c r="D282" i="2"/>
  <c r="E282" i="2"/>
  <c r="H282" i="2" s="1"/>
  <c r="A283" i="2"/>
  <c r="B283" i="2"/>
  <c r="D283" i="2"/>
  <c r="E283" i="2"/>
  <c r="H283" i="2" s="1"/>
  <c r="A284" i="2"/>
  <c r="B284" i="2"/>
  <c r="D284" i="2"/>
  <c r="E284" i="2"/>
  <c r="H284" i="2" s="1"/>
  <c r="A285" i="2"/>
  <c r="B285" i="2"/>
  <c r="D285" i="2"/>
  <c r="E285" i="2"/>
  <c r="H285" i="2" s="1"/>
  <c r="A286" i="2"/>
  <c r="B286" i="2"/>
  <c r="D286" i="2"/>
  <c r="E286" i="2"/>
  <c r="H286" i="2" s="1"/>
  <c r="A287" i="2"/>
  <c r="B287" i="2"/>
  <c r="D287" i="2"/>
  <c r="E287" i="2"/>
  <c r="H287" i="2" s="1"/>
  <c r="A288" i="2"/>
  <c r="B288" i="2"/>
  <c r="D288" i="2"/>
  <c r="E288" i="2"/>
  <c r="H288" i="2" s="1"/>
  <c r="A289" i="2"/>
  <c r="B289" i="2"/>
  <c r="D289" i="2"/>
  <c r="E289" i="2"/>
  <c r="H289" i="2" s="1"/>
  <c r="A290" i="2"/>
  <c r="B290" i="2"/>
  <c r="D290" i="2"/>
  <c r="E290" i="2"/>
  <c r="H290" i="2" s="1"/>
  <c r="A291" i="2"/>
  <c r="B291" i="2"/>
  <c r="D291" i="2"/>
  <c r="E291" i="2"/>
  <c r="H291" i="2" s="1"/>
  <c r="A292" i="2"/>
  <c r="B292" i="2"/>
  <c r="D292" i="2"/>
  <c r="E292" i="2"/>
  <c r="H292" i="2" s="1"/>
  <c r="A293" i="2"/>
  <c r="B293" i="2"/>
  <c r="D293" i="2"/>
  <c r="E293" i="2"/>
  <c r="H293" i="2" s="1"/>
  <c r="A294" i="2"/>
  <c r="B294" i="2"/>
  <c r="D294" i="2"/>
  <c r="E294" i="2"/>
  <c r="H294" i="2" s="1"/>
  <c r="A295" i="2"/>
  <c r="B295" i="2"/>
  <c r="D295" i="2"/>
  <c r="E295" i="2"/>
  <c r="H295" i="2" s="1"/>
  <c r="A296" i="2"/>
  <c r="B296" i="2"/>
  <c r="D296" i="2"/>
  <c r="E296" i="2"/>
  <c r="H296" i="2" s="1"/>
  <c r="A297" i="2"/>
  <c r="B297" i="2"/>
  <c r="D297" i="2"/>
  <c r="E297" i="2"/>
  <c r="H297" i="2" s="1"/>
  <c r="A298" i="2"/>
  <c r="B298" i="2"/>
  <c r="D298" i="2"/>
  <c r="E298" i="2"/>
  <c r="H298" i="2" s="1"/>
  <c r="A299" i="2"/>
  <c r="B299" i="2"/>
  <c r="D299" i="2"/>
  <c r="E299" i="2"/>
  <c r="H299" i="2" s="1"/>
  <c r="A300" i="2"/>
  <c r="B300" i="2"/>
  <c r="D300" i="2"/>
  <c r="E300" i="2"/>
  <c r="H300" i="2" s="1"/>
  <c r="A301" i="2"/>
  <c r="B301" i="2"/>
  <c r="D301" i="2"/>
  <c r="E301" i="2"/>
  <c r="H301" i="2" s="1"/>
  <c r="A302" i="2"/>
  <c r="B302" i="2"/>
  <c r="D302" i="2"/>
  <c r="E302" i="2"/>
  <c r="H302" i="2" s="1"/>
  <c r="A303" i="2"/>
  <c r="B303" i="2"/>
  <c r="D303" i="2"/>
  <c r="E303" i="2"/>
  <c r="H303" i="2" s="1"/>
  <c r="A304" i="2"/>
  <c r="B304" i="2"/>
  <c r="D304" i="2"/>
  <c r="E304" i="2"/>
  <c r="H304" i="2" s="1"/>
  <c r="A305" i="2"/>
  <c r="B305" i="2"/>
  <c r="D305" i="2"/>
  <c r="E305" i="2"/>
  <c r="H305" i="2" s="1"/>
  <c r="A306" i="2"/>
  <c r="B306" i="2"/>
  <c r="D306" i="2"/>
  <c r="E306" i="2"/>
  <c r="H306" i="2" s="1"/>
  <c r="A307" i="2"/>
  <c r="B307" i="2"/>
  <c r="D307" i="2"/>
  <c r="E307" i="2"/>
  <c r="H307" i="2" s="1"/>
  <c r="A308" i="2"/>
  <c r="B308" i="2"/>
  <c r="D308" i="2"/>
  <c r="E308" i="2"/>
  <c r="H308" i="2" s="1"/>
  <c r="A309" i="2"/>
  <c r="B309" i="2"/>
  <c r="D309" i="2"/>
  <c r="E309" i="2"/>
  <c r="H309" i="2" s="1"/>
  <c r="A310" i="2"/>
  <c r="B310" i="2"/>
  <c r="D310" i="2"/>
  <c r="E310" i="2"/>
  <c r="H310" i="2" s="1"/>
  <c r="A311" i="2"/>
  <c r="B311" i="2"/>
  <c r="D311" i="2"/>
  <c r="E311" i="2"/>
  <c r="H311" i="2" s="1"/>
  <c r="A312" i="2"/>
  <c r="B312" i="2"/>
  <c r="D312" i="2"/>
  <c r="E312" i="2"/>
  <c r="H312" i="2" s="1"/>
  <c r="A313" i="2"/>
  <c r="B313" i="2"/>
  <c r="D313" i="2"/>
  <c r="E313" i="2"/>
  <c r="H313" i="2" s="1"/>
  <c r="A314" i="2"/>
  <c r="B314" i="2"/>
  <c r="D314" i="2"/>
  <c r="E314" i="2"/>
  <c r="H314" i="2" s="1"/>
  <c r="A315" i="2"/>
  <c r="B315" i="2"/>
  <c r="D315" i="2"/>
  <c r="E315" i="2"/>
  <c r="H315" i="2" s="1"/>
  <c r="A316" i="2"/>
  <c r="B316" i="2"/>
  <c r="D316" i="2"/>
  <c r="E316" i="2"/>
  <c r="H316" i="2" s="1"/>
  <c r="A317" i="2"/>
  <c r="B317" i="2"/>
  <c r="D317" i="2"/>
  <c r="E317" i="2"/>
  <c r="H317" i="2" s="1"/>
  <c r="A318" i="2"/>
  <c r="B318" i="2"/>
  <c r="D318" i="2"/>
  <c r="E318" i="2"/>
  <c r="H318" i="2" s="1"/>
  <c r="A319" i="2"/>
  <c r="B319" i="2"/>
  <c r="D319" i="2"/>
  <c r="E319" i="2"/>
  <c r="H319" i="2" s="1"/>
  <c r="A320" i="2"/>
  <c r="B320" i="2"/>
  <c r="D320" i="2"/>
  <c r="E320" i="2"/>
  <c r="H320" i="2" s="1"/>
  <c r="A321" i="2"/>
  <c r="B321" i="2"/>
  <c r="D321" i="2"/>
  <c r="E321" i="2"/>
  <c r="H321" i="2" s="1"/>
  <c r="A322" i="2"/>
  <c r="B322" i="2"/>
  <c r="D322" i="2"/>
  <c r="E322" i="2"/>
  <c r="H322" i="2" s="1"/>
  <c r="A323" i="2"/>
  <c r="B323" i="2"/>
  <c r="D323" i="2"/>
  <c r="E323" i="2"/>
  <c r="H323" i="2" s="1"/>
  <c r="A324" i="2"/>
  <c r="B324" i="2"/>
  <c r="D324" i="2"/>
  <c r="E324" i="2"/>
  <c r="H324" i="2" s="1"/>
  <c r="A325" i="2"/>
  <c r="B325" i="2"/>
  <c r="D325" i="2"/>
  <c r="E325" i="2"/>
  <c r="H325" i="2" s="1"/>
  <c r="A326" i="2"/>
  <c r="B326" i="2"/>
  <c r="D326" i="2"/>
  <c r="E326" i="2"/>
  <c r="H326" i="2" s="1"/>
  <c r="A327" i="2"/>
  <c r="B327" i="2"/>
  <c r="D327" i="2"/>
  <c r="E327" i="2"/>
  <c r="H327" i="2" s="1"/>
  <c r="A328" i="2"/>
  <c r="B328" i="2"/>
  <c r="D328" i="2"/>
  <c r="E328" i="2"/>
  <c r="H328" i="2" s="1"/>
  <c r="A329" i="2"/>
  <c r="B329" i="2"/>
  <c r="D329" i="2"/>
  <c r="E329" i="2"/>
  <c r="H329" i="2" s="1"/>
  <c r="A330" i="2"/>
  <c r="B330" i="2"/>
  <c r="D330" i="2"/>
  <c r="E330" i="2"/>
  <c r="H330" i="2" s="1"/>
  <c r="A331" i="2"/>
  <c r="B331" i="2"/>
  <c r="D331" i="2"/>
  <c r="E331" i="2"/>
  <c r="H331" i="2" s="1"/>
  <c r="A332" i="2"/>
  <c r="B332" i="2"/>
  <c r="D332" i="2"/>
  <c r="E332" i="2"/>
  <c r="H332" i="2" s="1"/>
  <c r="A333" i="2"/>
  <c r="B333" i="2"/>
  <c r="D333" i="2"/>
  <c r="E333" i="2"/>
  <c r="H333" i="2" s="1"/>
  <c r="A334" i="2"/>
  <c r="B334" i="2"/>
  <c r="D334" i="2"/>
  <c r="E334" i="2"/>
  <c r="H334" i="2" s="1"/>
  <c r="A335" i="2"/>
  <c r="B335" i="2"/>
  <c r="D335" i="2"/>
  <c r="E335" i="2"/>
  <c r="H335" i="2" s="1"/>
  <c r="A336" i="2"/>
  <c r="B336" i="2"/>
  <c r="D336" i="2"/>
  <c r="E336" i="2"/>
  <c r="H336" i="2" s="1"/>
  <c r="A337" i="2"/>
  <c r="B337" i="2"/>
  <c r="D337" i="2"/>
  <c r="E337" i="2"/>
  <c r="H337" i="2" s="1"/>
  <c r="A338" i="2"/>
  <c r="B338" i="2"/>
  <c r="D338" i="2"/>
  <c r="E338" i="2"/>
  <c r="H338" i="2" s="1"/>
  <c r="A339" i="2"/>
  <c r="B339" i="2"/>
  <c r="D339" i="2"/>
  <c r="E339" i="2"/>
  <c r="H339" i="2" s="1"/>
  <c r="A340" i="2"/>
  <c r="B340" i="2"/>
  <c r="D340" i="2"/>
  <c r="E340" i="2"/>
  <c r="H340" i="2" s="1"/>
  <c r="A341" i="2"/>
  <c r="B341" i="2"/>
  <c r="D341" i="2"/>
  <c r="E341" i="2"/>
  <c r="H341" i="2" s="1"/>
  <c r="A342" i="2"/>
  <c r="B342" i="2"/>
  <c r="D342" i="2"/>
  <c r="E342" i="2"/>
  <c r="H342" i="2" s="1"/>
  <c r="A343" i="2"/>
  <c r="B343" i="2"/>
  <c r="D343" i="2"/>
  <c r="E343" i="2"/>
  <c r="H343" i="2" s="1"/>
  <c r="A344" i="2"/>
  <c r="B344" i="2"/>
  <c r="D344" i="2"/>
  <c r="E344" i="2"/>
  <c r="H344" i="2" s="1"/>
  <c r="A345" i="2"/>
  <c r="B345" i="2"/>
  <c r="D345" i="2"/>
  <c r="E345" i="2"/>
  <c r="H345" i="2" s="1"/>
  <c r="A346" i="2"/>
  <c r="B346" i="2"/>
  <c r="D346" i="2"/>
  <c r="E346" i="2"/>
  <c r="H346" i="2" s="1"/>
  <c r="A347" i="2"/>
  <c r="B347" i="2"/>
  <c r="D347" i="2"/>
  <c r="E347" i="2"/>
  <c r="H347" i="2" s="1"/>
  <c r="A348" i="2"/>
  <c r="B348" i="2"/>
  <c r="D348" i="2"/>
  <c r="E348" i="2"/>
  <c r="H348" i="2" s="1"/>
  <c r="A349" i="2"/>
  <c r="B349" i="2"/>
  <c r="D349" i="2"/>
  <c r="E349" i="2"/>
  <c r="H349" i="2" s="1"/>
  <c r="A350" i="2"/>
  <c r="B350" i="2"/>
  <c r="D350" i="2"/>
  <c r="E350" i="2"/>
  <c r="H350" i="2" s="1"/>
  <c r="A351" i="2"/>
  <c r="B351" i="2"/>
  <c r="D351" i="2"/>
  <c r="E351" i="2"/>
  <c r="H351" i="2" s="1"/>
  <c r="A352" i="2"/>
  <c r="B352" i="2"/>
  <c r="D352" i="2"/>
  <c r="E352" i="2"/>
  <c r="H352" i="2" s="1"/>
  <c r="A353" i="2"/>
  <c r="B353" i="2"/>
  <c r="D353" i="2"/>
  <c r="E353" i="2"/>
  <c r="H353" i="2" s="1"/>
  <c r="A354" i="2"/>
  <c r="B354" i="2"/>
  <c r="D354" i="2"/>
  <c r="E354" i="2"/>
  <c r="H354" i="2" s="1"/>
  <c r="A355" i="2"/>
  <c r="B355" i="2"/>
  <c r="D355" i="2"/>
  <c r="E355" i="2"/>
  <c r="H355" i="2" s="1"/>
  <c r="A356" i="2"/>
  <c r="B356" i="2"/>
  <c r="D356" i="2"/>
  <c r="E356" i="2"/>
  <c r="H356" i="2" s="1"/>
  <c r="A357" i="2"/>
  <c r="B357" i="2"/>
  <c r="D357" i="2"/>
  <c r="E357" i="2"/>
  <c r="H357" i="2" s="1"/>
  <c r="A358" i="2"/>
  <c r="B358" i="2"/>
  <c r="D358" i="2"/>
  <c r="E358" i="2"/>
  <c r="H358" i="2" s="1"/>
  <c r="A359" i="2"/>
  <c r="B359" i="2"/>
  <c r="D359" i="2"/>
  <c r="E359" i="2"/>
  <c r="H359" i="2" s="1"/>
  <c r="A360" i="2"/>
  <c r="B360" i="2"/>
  <c r="D360" i="2"/>
  <c r="E360" i="2"/>
  <c r="H360" i="2" s="1"/>
  <c r="A361" i="2"/>
  <c r="B361" i="2"/>
  <c r="D361" i="2"/>
  <c r="E361" i="2"/>
  <c r="H361" i="2" s="1"/>
  <c r="A362" i="2"/>
  <c r="B362" i="2"/>
  <c r="D362" i="2"/>
  <c r="E362" i="2"/>
  <c r="H362" i="2" s="1"/>
  <c r="A363" i="2"/>
  <c r="B363" i="2"/>
  <c r="D363" i="2"/>
  <c r="E363" i="2"/>
  <c r="H363" i="2" s="1"/>
  <c r="A364" i="2"/>
  <c r="B364" i="2"/>
  <c r="D364" i="2"/>
  <c r="E364" i="2"/>
  <c r="H364" i="2" s="1"/>
  <c r="A365" i="2"/>
  <c r="B365" i="2"/>
  <c r="D365" i="2"/>
  <c r="E365" i="2"/>
  <c r="H365" i="2" s="1"/>
  <c r="A366" i="2"/>
  <c r="B366" i="2"/>
  <c r="D366" i="2"/>
  <c r="E366" i="2"/>
  <c r="H366" i="2" s="1"/>
  <c r="A367" i="2"/>
  <c r="B367" i="2"/>
  <c r="D367" i="2"/>
  <c r="E367" i="2"/>
  <c r="H367" i="2" s="1"/>
  <c r="A368" i="2"/>
  <c r="B368" i="2"/>
  <c r="D368" i="2"/>
  <c r="E368" i="2"/>
  <c r="H368" i="2" s="1"/>
  <c r="A369" i="2"/>
  <c r="B369" i="2"/>
  <c r="D369" i="2"/>
  <c r="E369" i="2"/>
  <c r="H369" i="2" s="1"/>
  <c r="A370" i="2"/>
  <c r="B370" i="2"/>
  <c r="D370" i="2"/>
  <c r="E370" i="2"/>
  <c r="H370" i="2" s="1"/>
  <c r="A371" i="2"/>
  <c r="B371" i="2"/>
  <c r="D371" i="2"/>
  <c r="E371" i="2"/>
  <c r="H371" i="2" s="1"/>
  <c r="A372" i="2"/>
  <c r="B372" i="2"/>
  <c r="D372" i="2"/>
  <c r="E372" i="2"/>
  <c r="H372" i="2" s="1"/>
  <c r="A373" i="2"/>
  <c r="B373" i="2"/>
  <c r="D373" i="2"/>
  <c r="E373" i="2"/>
  <c r="H373" i="2" s="1"/>
  <c r="A374" i="2"/>
  <c r="B374" i="2"/>
  <c r="D374" i="2"/>
  <c r="E374" i="2"/>
  <c r="H374" i="2" s="1"/>
  <c r="A375" i="2"/>
  <c r="B375" i="2"/>
  <c r="D375" i="2"/>
  <c r="E375" i="2"/>
  <c r="H375" i="2" s="1"/>
  <c r="A376" i="2"/>
  <c r="B376" i="2"/>
  <c r="D376" i="2"/>
  <c r="E376" i="2"/>
  <c r="H376" i="2" s="1"/>
  <c r="A377" i="2"/>
  <c r="B377" i="2"/>
  <c r="D377" i="2"/>
  <c r="E377" i="2"/>
  <c r="H377" i="2" s="1"/>
  <c r="A378" i="2"/>
  <c r="B378" i="2"/>
  <c r="D378" i="2"/>
  <c r="E378" i="2"/>
  <c r="H378" i="2" s="1"/>
  <c r="A379" i="2"/>
  <c r="B379" i="2"/>
  <c r="D379" i="2"/>
  <c r="E379" i="2"/>
  <c r="H379" i="2" s="1"/>
  <c r="A380" i="2"/>
  <c r="B380" i="2"/>
  <c r="D380" i="2"/>
  <c r="E380" i="2"/>
  <c r="H380" i="2" s="1"/>
  <c r="A381" i="2"/>
  <c r="B381" i="2"/>
  <c r="D381" i="2"/>
  <c r="E381" i="2"/>
  <c r="H381" i="2" s="1"/>
  <c r="A382" i="2"/>
  <c r="B382" i="2"/>
  <c r="D382" i="2"/>
  <c r="E382" i="2"/>
  <c r="H382" i="2" s="1"/>
  <c r="A383" i="2"/>
  <c r="B383" i="2"/>
  <c r="D383" i="2"/>
  <c r="E383" i="2"/>
  <c r="H383" i="2" s="1"/>
  <c r="A384" i="2"/>
  <c r="B384" i="2"/>
  <c r="D384" i="2"/>
  <c r="E384" i="2"/>
  <c r="H384" i="2" s="1"/>
  <c r="A385" i="2"/>
  <c r="B385" i="2"/>
  <c r="D385" i="2"/>
  <c r="E385" i="2"/>
  <c r="H385" i="2" s="1"/>
  <c r="A386" i="2"/>
  <c r="B386" i="2"/>
  <c r="D386" i="2"/>
  <c r="E386" i="2"/>
  <c r="H386" i="2" s="1"/>
  <c r="A387" i="2"/>
  <c r="B387" i="2"/>
  <c r="D387" i="2"/>
  <c r="E387" i="2"/>
  <c r="H387" i="2" s="1"/>
  <c r="A388" i="2"/>
  <c r="B388" i="2"/>
  <c r="D388" i="2"/>
  <c r="E388" i="2"/>
  <c r="H388" i="2" s="1"/>
  <c r="A389" i="2"/>
  <c r="B389" i="2"/>
  <c r="D389" i="2"/>
  <c r="E389" i="2"/>
  <c r="H389" i="2" s="1"/>
  <c r="A390" i="2"/>
  <c r="B390" i="2"/>
  <c r="D390" i="2"/>
  <c r="E390" i="2"/>
  <c r="H390" i="2" s="1"/>
  <c r="A391" i="2"/>
  <c r="B391" i="2"/>
  <c r="D391" i="2"/>
  <c r="E391" i="2"/>
  <c r="H391" i="2" s="1"/>
  <c r="A392" i="2"/>
  <c r="B392" i="2"/>
  <c r="D392" i="2"/>
  <c r="E392" i="2"/>
  <c r="H392" i="2" s="1"/>
  <c r="A393" i="2"/>
  <c r="B393" i="2"/>
  <c r="D393" i="2"/>
  <c r="E393" i="2"/>
  <c r="H393" i="2" s="1"/>
  <c r="A394" i="2"/>
  <c r="B394" i="2"/>
  <c r="D394" i="2"/>
  <c r="E394" i="2"/>
  <c r="H394" i="2" s="1"/>
  <c r="A395" i="2"/>
  <c r="B395" i="2"/>
  <c r="D395" i="2"/>
  <c r="E395" i="2"/>
  <c r="H395" i="2" s="1"/>
  <c r="A396" i="2"/>
  <c r="B396" i="2"/>
  <c r="D396" i="2"/>
  <c r="E396" i="2"/>
  <c r="H396" i="2" s="1"/>
  <c r="A397" i="2"/>
  <c r="B397" i="2"/>
  <c r="D397" i="2"/>
  <c r="E397" i="2"/>
  <c r="H397" i="2" s="1"/>
  <c r="A398" i="2"/>
  <c r="B398" i="2"/>
  <c r="D398" i="2"/>
  <c r="E398" i="2"/>
  <c r="H398" i="2" s="1"/>
  <c r="A399" i="2"/>
  <c r="B399" i="2"/>
  <c r="D399" i="2"/>
  <c r="E399" i="2"/>
  <c r="H399" i="2" s="1"/>
  <c r="A400" i="2"/>
  <c r="B400" i="2"/>
  <c r="D400" i="2"/>
  <c r="E400" i="2"/>
  <c r="H400" i="2" s="1"/>
  <c r="A401" i="2"/>
  <c r="B401" i="2"/>
  <c r="D401" i="2"/>
  <c r="E401" i="2"/>
  <c r="H401" i="2" s="1"/>
  <c r="A402" i="2"/>
  <c r="B402" i="2"/>
  <c r="D402" i="2"/>
  <c r="E402" i="2"/>
  <c r="H402" i="2" s="1"/>
  <c r="A403" i="2"/>
  <c r="B403" i="2"/>
  <c r="D403" i="2"/>
  <c r="E403" i="2"/>
  <c r="H403" i="2" s="1"/>
  <c r="A404" i="2"/>
  <c r="B404" i="2"/>
  <c r="D404" i="2"/>
  <c r="E404" i="2"/>
  <c r="H404" i="2" s="1"/>
  <c r="A405" i="2"/>
  <c r="B405" i="2"/>
  <c r="D405" i="2"/>
  <c r="E405" i="2"/>
  <c r="H405" i="2" s="1"/>
  <c r="A406" i="2"/>
  <c r="B406" i="2"/>
  <c r="D406" i="2"/>
  <c r="E406" i="2"/>
  <c r="H406" i="2" s="1"/>
  <c r="A407" i="2"/>
  <c r="B407" i="2"/>
  <c r="D407" i="2"/>
  <c r="E407" i="2"/>
  <c r="H407" i="2" s="1"/>
  <c r="A408" i="2"/>
  <c r="B408" i="2"/>
  <c r="D408" i="2"/>
  <c r="E408" i="2"/>
  <c r="H408" i="2" s="1"/>
  <c r="A409" i="2"/>
  <c r="B409" i="2"/>
  <c r="D409" i="2"/>
  <c r="E409" i="2"/>
  <c r="H409" i="2" s="1"/>
  <c r="A410" i="2"/>
  <c r="B410" i="2"/>
  <c r="D410" i="2"/>
  <c r="E410" i="2"/>
  <c r="H410" i="2" s="1"/>
  <c r="A411" i="2"/>
  <c r="B411" i="2"/>
  <c r="D411" i="2"/>
  <c r="E411" i="2"/>
  <c r="H411" i="2" s="1"/>
  <c r="A412" i="2"/>
  <c r="B412" i="2"/>
  <c r="D412" i="2"/>
  <c r="E412" i="2"/>
  <c r="H412" i="2" s="1"/>
  <c r="A413" i="2"/>
  <c r="B413" i="2"/>
  <c r="D413" i="2"/>
  <c r="E413" i="2"/>
  <c r="H413" i="2" s="1"/>
  <c r="A414" i="2"/>
  <c r="B414" i="2"/>
  <c r="D414" i="2"/>
  <c r="E414" i="2"/>
  <c r="H414" i="2" s="1"/>
  <c r="A415" i="2"/>
  <c r="B415" i="2"/>
  <c r="D415" i="2"/>
  <c r="E415" i="2"/>
  <c r="H415" i="2" s="1"/>
  <c r="A416" i="2"/>
  <c r="B416" i="2"/>
  <c r="D416" i="2"/>
  <c r="E416" i="2"/>
  <c r="H416" i="2" s="1"/>
  <c r="A417" i="2"/>
  <c r="B417" i="2"/>
  <c r="D417" i="2"/>
  <c r="E417" i="2"/>
  <c r="H417" i="2" s="1"/>
  <c r="A418" i="2"/>
  <c r="B418" i="2"/>
  <c r="D418" i="2"/>
  <c r="E418" i="2"/>
  <c r="H418" i="2" s="1"/>
  <c r="A419" i="2"/>
  <c r="B419" i="2"/>
  <c r="D419" i="2"/>
  <c r="E419" i="2"/>
  <c r="H419" i="2" s="1"/>
  <c r="A420" i="2"/>
  <c r="B420" i="2"/>
  <c r="D420" i="2"/>
  <c r="E420" i="2"/>
  <c r="H420" i="2" s="1"/>
  <c r="A421" i="2"/>
  <c r="B421" i="2"/>
  <c r="D421" i="2"/>
  <c r="E421" i="2"/>
  <c r="H421" i="2" s="1"/>
  <c r="A422" i="2"/>
  <c r="B422" i="2"/>
  <c r="D422" i="2"/>
  <c r="E422" i="2"/>
  <c r="H422" i="2" s="1"/>
  <c r="A423" i="2"/>
  <c r="B423" i="2"/>
  <c r="D423" i="2"/>
  <c r="E423" i="2"/>
  <c r="H423" i="2" s="1"/>
  <c r="A424" i="2"/>
  <c r="B424" i="2"/>
  <c r="D424" i="2"/>
  <c r="E424" i="2"/>
  <c r="H424" i="2" s="1"/>
  <c r="A425" i="2"/>
  <c r="B425" i="2"/>
  <c r="D425" i="2"/>
  <c r="E425" i="2"/>
  <c r="H425" i="2" s="1"/>
  <c r="A426" i="2"/>
  <c r="B426" i="2"/>
  <c r="D426" i="2"/>
  <c r="E426" i="2"/>
  <c r="H426" i="2" s="1"/>
  <c r="A427" i="2"/>
  <c r="B427" i="2"/>
  <c r="D427" i="2"/>
  <c r="E427" i="2"/>
  <c r="H427" i="2" s="1"/>
  <c r="A428" i="2"/>
  <c r="B428" i="2"/>
  <c r="D428" i="2"/>
  <c r="E428" i="2"/>
  <c r="H428" i="2" s="1"/>
  <c r="A429" i="2"/>
  <c r="B429" i="2"/>
  <c r="D429" i="2"/>
  <c r="E429" i="2"/>
  <c r="H429" i="2" s="1"/>
  <c r="A430" i="2"/>
  <c r="B430" i="2"/>
  <c r="D430" i="2"/>
  <c r="E430" i="2"/>
  <c r="H430" i="2" s="1"/>
  <c r="A431" i="2"/>
  <c r="B431" i="2"/>
  <c r="D431" i="2"/>
  <c r="E431" i="2"/>
  <c r="H431" i="2" s="1"/>
  <c r="A432" i="2"/>
  <c r="B432" i="2"/>
  <c r="D432" i="2"/>
  <c r="E432" i="2"/>
  <c r="H432" i="2" s="1"/>
  <c r="A433" i="2"/>
  <c r="B433" i="2"/>
  <c r="D433" i="2"/>
  <c r="E433" i="2"/>
  <c r="H433" i="2" s="1"/>
  <c r="A434" i="2"/>
  <c r="B434" i="2"/>
  <c r="D434" i="2"/>
  <c r="E434" i="2"/>
  <c r="H434" i="2" s="1"/>
  <c r="A435" i="2"/>
  <c r="B435" i="2"/>
  <c r="D435" i="2"/>
  <c r="E435" i="2"/>
  <c r="H435" i="2" s="1"/>
  <c r="A436" i="2"/>
  <c r="B436" i="2"/>
  <c r="D436" i="2"/>
  <c r="E436" i="2"/>
  <c r="H436" i="2" s="1"/>
  <c r="A437" i="2"/>
  <c r="B437" i="2"/>
  <c r="D437" i="2"/>
  <c r="E437" i="2"/>
  <c r="H437" i="2" s="1"/>
  <c r="A438" i="2"/>
  <c r="B438" i="2"/>
  <c r="D438" i="2"/>
  <c r="E438" i="2"/>
  <c r="H438" i="2" s="1"/>
  <c r="A439" i="2"/>
  <c r="B439" i="2"/>
  <c r="D439" i="2"/>
  <c r="E439" i="2"/>
  <c r="H439" i="2" s="1"/>
  <c r="A440" i="2"/>
  <c r="B440" i="2"/>
  <c r="D440" i="2"/>
  <c r="E440" i="2"/>
  <c r="H440" i="2" s="1"/>
  <c r="A441" i="2"/>
  <c r="B441" i="2"/>
  <c r="D441" i="2"/>
  <c r="E441" i="2"/>
  <c r="H441" i="2" s="1"/>
  <c r="A442" i="2"/>
  <c r="B442" i="2"/>
  <c r="D442" i="2"/>
  <c r="E442" i="2"/>
  <c r="H442" i="2" s="1"/>
  <c r="A443" i="2"/>
  <c r="B443" i="2"/>
  <c r="D443" i="2"/>
  <c r="E443" i="2"/>
  <c r="H443" i="2" s="1"/>
  <c r="A444" i="2"/>
  <c r="B444" i="2"/>
  <c r="D444" i="2"/>
  <c r="E444" i="2"/>
  <c r="H444" i="2" s="1"/>
  <c r="A445" i="2"/>
  <c r="B445" i="2"/>
  <c r="D445" i="2"/>
  <c r="E445" i="2"/>
  <c r="H445" i="2" s="1"/>
  <c r="A446" i="2"/>
  <c r="B446" i="2"/>
  <c r="D446" i="2"/>
  <c r="E446" i="2"/>
  <c r="H446" i="2" s="1"/>
  <c r="A447" i="2"/>
  <c r="B447" i="2"/>
  <c r="D447" i="2"/>
  <c r="E447" i="2"/>
  <c r="H447" i="2" s="1"/>
  <c r="A448" i="2"/>
  <c r="B448" i="2"/>
  <c r="D448" i="2"/>
  <c r="E448" i="2"/>
  <c r="H448" i="2" s="1"/>
  <c r="A449" i="2"/>
  <c r="B449" i="2"/>
  <c r="D449" i="2"/>
  <c r="E449" i="2"/>
  <c r="H449" i="2" s="1"/>
  <c r="A450" i="2"/>
  <c r="B450" i="2"/>
  <c r="D450" i="2"/>
  <c r="E450" i="2"/>
  <c r="H450" i="2" s="1"/>
  <c r="A451" i="2"/>
  <c r="B451" i="2"/>
  <c r="D451" i="2"/>
  <c r="E451" i="2"/>
  <c r="H451" i="2" s="1"/>
  <c r="A452" i="2"/>
  <c r="B452" i="2"/>
  <c r="D452" i="2"/>
  <c r="E452" i="2"/>
  <c r="H452" i="2" s="1"/>
  <c r="A453" i="2"/>
  <c r="B453" i="2"/>
  <c r="D453" i="2"/>
  <c r="E453" i="2"/>
  <c r="H453" i="2" s="1"/>
  <c r="A454" i="2"/>
  <c r="B454" i="2"/>
  <c r="D454" i="2"/>
  <c r="E454" i="2"/>
  <c r="H454" i="2" s="1"/>
  <c r="A455" i="2"/>
  <c r="B455" i="2"/>
  <c r="D455" i="2"/>
  <c r="E455" i="2"/>
  <c r="H455" i="2" s="1"/>
  <c r="A456" i="2"/>
  <c r="B456" i="2"/>
  <c r="D456" i="2"/>
  <c r="E456" i="2"/>
  <c r="H456" i="2" s="1"/>
  <c r="A457" i="2"/>
  <c r="B457" i="2"/>
  <c r="D457" i="2"/>
  <c r="E457" i="2"/>
  <c r="H457" i="2" s="1"/>
  <c r="A458" i="2"/>
  <c r="B458" i="2"/>
  <c r="D458" i="2"/>
  <c r="E458" i="2"/>
  <c r="H458" i="2" s="1"/>
  <c r="A459" i="2"/>
  <c r="B459" i="2"/>
  <c r="D459" i="2"/>
  <c r="E459" i="2"/>
  <c r="H459" i="2" s="1"/>
  <c r="A460" i="2"/>
  <c r="B460" i="2"/>
  <c r="D460" i="2"/>
  <c r="E460" i="2"/>
  <c r="H460" i="2" s="1"/>
  <c r="A461" i="2"/>
  <c r="B461" i="2"/>
  <c r="D461" i="2"/>
  <c r="E461" i="2"/>
  <c r="H461" i="2" s="1"/>
  <c r="A462" i="2"/>
  <c r="B462" i="2"/>
  <c r="D462" i="2"/>
  <c r="E462" i="2"/>
  <c r="H462" i="2" s="1"/>
  <c r="A463" i="2"/>
  <c r="B463" i="2"/>
  <c r="D463" i="2"/>
  <c r="E463" i="2"/>
  <c r="H463" i="2" s="1"/>
  <c r="A464" i="2"/>
  <c r="B464" i="2"/>
  <c r="D464" i="2"/>
  <c r="E464" i="2"/>
  <c r="H464" i="2" s="1"/>
  <c r="A465" i="2"/>
  <c r="B465" i="2"/>
  <c r="D465" i="2"/>
  <c r="E465" i="2"/>
  <c r="H465" i="2" s="1"/>
  <c r="A466" i="2"/>
  <c r="B466" i="2"/>
  <c r="D466" i="2"/>
  <c r="E466" i="2"/>
  <c r="H466" i="2" s="1"/>
  <c r="A467" i="2"/>
  <c r="B467" i="2"/>
  <c r="D467" i="2"/>
  <c r="E467" i="2"/>
  <c r="H467" i="2" s="1"/>
  <c r="A468" i="2"/>
  <c r="B468" i="2"/>
  <c r="D468" i="2"/>
  <c r="E468" i="2"/>
  <c r="H468" i="2" s="1"/>
  <c r="A469" i="2"/>
  <c r="B469" i="2"/>
  <c r="D469" i="2"/>
  <c r="E469" i="2"/>
  <c r="H469" i="2" s="1"/>
  <c r="A470" i="2"/>
  <c r="B470" i="2"/>
  <c r="D470" i="2"/>
  <c r="E470" i="2"/>
  <c r="H470" i="2" s="1"/>
  <c r="A471" i="2"/>
  <c r="B471" i="2"/>
  <c r="D471" i="2"/>
  <c r="E471" i="2"/>
  <c r="H471" i="2" s="1"/>
  <c r="A472" i="2"/>
  <c r="B472" i="2"/>
  <c r="D472" i="2"/>
  <c r="E472" i="2"/>
  <c r="H472" i="2" s="1"/>
  <c r="A473" i="2"/>
  <c r="B473" i="2"/>
  <c r="D473" i="2"/>
  <c r="E473" i="2"/>
  <c r="H473" i="2" s="1"/>
  <c r="A474" i="2"/>
  <c r="B474" i="2"/>
  <c r="D474" i="2"/>
  <c r="E474" i="2"/>
  <c r="H474" i="2" s="1"/>
  <c r="A475" i="2"/>
  <c r="B475" i="2"/>
  <c r="D475" i="2"/>
  <c r="E475" i="2"/>
  <c r="H475" i="2" s="1"/>
  <c r="A476" i="2"/>
  <c r="B476" i="2"/>
  <c r="D476" i="2"/>
  <c r="E476" i="2"/>
  <c r="H476" i="2" s="1"/>
  <c r="A477" i="2"/>
  <c r="B477" i="2"/>
  <c r="D477" i="2"/>
  <c r="E477" i="2"/>
  <c r="H477" i="2" s="1"/>
  <c r="A478" i="2"/>
  <c r="B478" i="2"/>
  <c r="D478" i="2"/>
  <c r="E478" i="2"/>
  <c r="H478" i="2" s="1"/>
  <c r="A479" i="2"/>
  <c r="B479" i="2"/>
  <c r="D479" i="2"/>
  <c r="E479" i="2"/>
  <c r="H479" i="2" s="1"/>
  <c r="A480" i="2"/>
  <c r="B480" i="2"/>
  <c r="D480" i="2"/>
  <c r="E480" i="2"/>
  <c r="H480" i="2" s="1"/>
  <c r="A481" i="2"/>
  <c r="B481" i="2"/>
  <c r="D481" i="2"/>
  <c r="E481" i="2"/>
  <c r="H481" i="2" s="1"/>
  <c r="A482" i="2"/>
  <c r="B482" i="2"/>
  <c r="D482" i="2"/>
  <c r="E482" i="2"/>
  <c r="H482" i="2" s="1"/>
  <c r="A483" i="2"/>
  <c r="B483" i="2"/>
  <c r="D483" i="2"/>
  <c r="E483" i="2"/>
  <c r="H483" i="2" s="1"/>
  <c r="A484" i="2"/>
  <c r="B484" i="2"/>
  <c r="D484" i="2"/>
  <c r="E484" i="2"/>
  <c r="H484" i="2" s="1"/>
  <c r="A485" i="2"/>
  <c r="B485" i="2"/>
  <c r="D485" i="2"/>
  <c r="E485" i="2"/>
  <c r="H485" i="2" s="1"/>
  <c r="A486" i="2"/>
  <c r="B486" i="2"/>
  <c r="D486" i="2"/>
  <c r="E486" i="2"/>
  <c r="H486" i="2" s="1"/>
  <c r="A487" i="2"/>
  <c r="B487" i="2"/>
  <c r="D487" i="2"/>
  <c r="E487" i="2"/>
  <c r="H487" i="2" s="1"/>
  <c r="A488" i="2"/>
  <c r="B488" i="2"/>
  <c r="D488" i="2"/>
  <c r="E488" i="2"/>
  <c r="H488" i="2" s="1"/>
  <c r="A489" i="2"/>
  <c r="B489" i="2"/>
  <c r="D489" i="2"/>
  <c r="E489" i="2"/>
  <c r="H489" i="2" s="1"/>
  <c r="A490" i="2"/>
  <c r="B490" i="2"/>
  <c r="D490" i="2"/>
  <c r="E490" i="2"/>
  <c r="H490" i="2" s="1"/>
  <c r="A491" i="2"/>
  <c r="B491" i="2"/>
  <c r="D491" i="2"/>
  <c r="E491" i="2"/>
  <c r="H491" i="2" s="1"/>
  <c r="A492" i="2"/>
  <c r="B492" i="2"/>
  <c r="D492" i="2"/>
  <c r="E492" i="2"/>
  <c r="H492" i="2" s="1"/>
  <c r="A493" i="2"/>
  <c r="B493" i="2"/>
  <c r="D493" i="2"/>
  <c r="E493" i="2"/>
  <c r="H493" i="2" s="1"/>
  <c r="A494" i="2"/>
  <c r="B494" i="2"/>
  <c r="D494" i="2"/>
  <c r="E494" i="2"/>
  <c r="H494" i="2" s="1"/>
  <c r="A495" i="2"/>
  <c r="B495" i="2"/>
  <c r="D495" i="2"/>
  <c r="E495" i="2"/>
  <c r="H495" i="2" s="1"/>
  <c r="A496" i="2"/>
  <c r="B496" i="2"/>
  <c r="D496" i="2"/>
  <c r="E496" i="2"/>
  <c r="H496" i="2" s="1"/>
  <c r="A497" i="2"/>
  <c r="B497" i="2"/>
  <c r="D497" i="2"/>
  <c r="E497" i="2"/>
  <c r="H497" i="2" s="1"/>
  <c r="A498" i="2"/>
  <c r="B498" i="2"/>
  <c r="D498" i="2"/>
  <c r="E498" i="2"/>
  <c r="H498" i="2" s="1"/>
  <c r="A499" i="2"/>
  <c r="B499" i="2"/>
  <c r="D499" i="2"/>
  <c r="E499" i="2"/>
  <c r="H499" i="2" s="1"/>
  <c r="A500" i="2"/>
  <c r="B500" i="2"/>
  <c r="D500" i="2"/>
  <c r="E500" i="2"/>
  <c r="H500" i="2" s="1"/>
  <c r="A501" i="2"/>
  <c r="B501" i="2"/>
  <c r="D501" i="2"/>
  <c r="E501" i="2"/>
  <c r="H501" i="2" s="1"/>
  <c r="A502" i="2"/>
  <c r="B502" i="2"/>
  <c r="D502" i="2"/>
  <c r="E502" i="2"/>
  <c r="H502" i="2" s="1"/>
  <c r="A503" i="2"/>
  <c r="B503" i="2"/>
  <c r="D503" i="2"/>
  <c r="E503" i="2"/>
  <c r="H503" i="2" s="1"/>
  <c r="A504" i="2"/>
  <c r="B504" i="2"/>
  <c r="D504" i="2"/>
  <c r="E504" i="2"/>
  <c r="H504" i="2" s="1"/>
  <c r="A505" i="2"/>
  <c r="B505" i="2"/>
  <c r="D505" i="2"/>
  <c r="E505" i="2"/>
  <c r="H505" i="2" s="1"/>
  <c r="A506" i="2"/>
  <c r="B506" i="2"/>
  <c r="D506" i="2"/>
  <c r="E506" i="2"/>
  <c r="H506" i="2" s="1"/>
  <c r="A507" i="2"/>
  <c r="B507" i="2"/>
  <c r="D507" i="2"/>
  <c r="E507" i="2"/>
  <c r="H507" i="2" s="1"/>
  <c r="A508" i="2"/>
  <c r="B508" i="2"/>
  <c r="D508" i="2"/>
  <c r="E508" i="2"/>
  <c r="H508" i="2" s="1"/>
  <c r="A509" i="2"/>
  <c r="B509" i="2"/>
  <c r="D509" i="2"/>
  <c r="E509" i="2"/>
  <c r="H509" i="2" s="1"/>
  <c r="A510" i="2"/>
  <c r="B510" i="2"/>
  <c r="D510" i="2"/>
  <c r="E510" i="2"/>
  <c r="H510" i="2" s="1"/>
  <c r="A511" i="2"/>
  <c r="B511" i="2"/>
  <c r="D511" i="2"/>
  <c r="E511" i="2"/>
  <c r="H511" i="2" s="1"/>
  <c r="A512" i="2"/>
  <c r="B512" i="2"/>
  <c r="D512" i="2"/>
  <c r="E512" i="2"/>
  <c r="H512" i="2" s="1"/>
  <c r="A513" i="2"/>
  <c r="B513" i="2"/>
  <c r="D513" i="2"/>
  <c r="E513" i="2"/>
  <c r="H513" i="2" s="1"/>
  <c r="A514" i="2"/>
  <c r="B514" i="2"/>
  <c r="D514" i="2"/>
  <c r="E514" i="2"/>
  <c r="H514" i="2" s="1"/>
  <c r="A515" i="2"/>
  <c r="B515" i="2"/>
  <c r="D515" i="2"/>
  <c r="E515" i="2"/>
  <c r="H515" i="2" s="1"/>
  <c r="A516" i="2"/>
  <c r="B516" i="2"/>
  <c r="D516" i="2"/>
  <c r="E516" i="2"/>
  <c r="H516" i="2" s="1"/>
  <c r="A517" i="2"/>
  <c r="B517" i="2"/>
  <c r="D517" i="2"/>
  <c r="E517" i="2"/>
  <c r="H517" i="2" s="1"/>
  <c r="A518" i="2"/>
  <c r="B518" i="2"/>
  <c r="D518" i="2"/>
  <c r="E518" i="2"/>
  <c r="H518" i="2" s="1"/>
  <c r="A519" i="2"/>
  <c r="B519" i="2"/>
  <c r="D519" i="2"/>
  <c r="E519" i="2"/>
  <c r="H519" i="2" s="1"/>
  <c r="A520" i="2"/>
  <c r="B520" i="2"/>
  <c r="D520" i="2"/>
  <c r="E520" i="2"/>
  <c r="H520" i="2" s="1"/>
  <c r="A521" i="2"/>
  <c r="B521" i="2"/>
  <c r="D521" i="2"/>
  <c r="E521" i="2"/>
  <c r="H521" i="2" s="1"/>
  <c r="A522" i="2"/>
  <c r="B522" i="2"/>
  <c r="D522" i="2"/>
  <c r="E522" i="2"/>
  <c r="H522" i="2" s="1"/>
  <c r="A523" i="2"/>
  <c r="B523" i="2"/>
  <c r="D523" i="2"/>
  <c r="E523" i="2"/>
  <c r="H523" i="2" s="1"/>
  <c r="A524" i="2"/>
  <c r="B524" i="2"/>
  <c r="D524" i="2"/>
  <c r="E524" i="2"/>
  <c r="H524" i="2" s="1"/>
  <c r="A525" i="2"/>
  <c r="B525" i="2"/>
  <c r="D525" i="2"/>
  <c r="E525" i="2"/>
  <c r="H525" i="2" s="1"/>
  <c r="A526" i="2"/>
  <c r="B526" i="2"/>
  <c r="D526" i="2"/>
  <c r="E526" i="2"/>
  <c r="H526" i="2" s="1"/>
  <c r="A527" i="2"/>
  <c r="B527" i="2"/>
  <c r="D527" i="2"/>
  <c r="E527" i="2"/>
  <c r="H527" i="2" s="1"/>
  <c r="A528" i="2"/>
  <c r="B528" i="2"/>
  <c r="D528" i="2"/>
  <c r="E528" i="2"/>
  <c r="H528" i="2" s="1"/>
  <c r="A529" i="2"/>
  <c r="B529" i="2"/>
  <c r="D529" i="2"/>
  <c r="E529" i="2"/>
  <c r="H529" i="2" s="1"/>
  <c r="A530" i="2"/>
  <c r="B530" i="2"/>
  <c r="D530" i="2"/>
  <c r="E530" i="2"/>
  <c r="H530" i="2" s="1"/>
  <c r="A531" i="2"/>
  <c r="B531" i="2"/>
  <c r="D531" i="2"/>
  <c r="E531" i="2"/>
  <c r="H531" i="2" s="1"/>
  <c r="A532" i="2"/>
  <c r="B532" i="2"/>
  <c r="D532" i="2"/>
  <c r="E532" i="2"/>
  <c r="H532" i="2" s="1"/>
  <c r="A533" i="2"/>
  <c r="B533" i="2"/>
  <c r="D533" i="2"/>
  <c r="E533" i="2"/>
  <c r="H533" i="2" s="1"/>
  <c r="A534" i="2"/>
  <c r="B534" i="2"/>
  <c r="D534" i="2"/>
  <c r="E534" i="2"/>
  <c r="H534" i="2" s="1"/>
  <c r="A535" i="2"/>
  <c r="B535" i="2"/>
  <c r="D535" i="2"/>
  <c r="E535" i="2"/>
  <c r="H535" i="2" s="1"/>
  <c r="A536" i="2"/>
  <c r="B536" i="2"/>
  <c r="D536" i="2"/>
  <c r="E536" i="2"/>
  <c r="H536" i="2" s="1"/>
  <c r="A537" i="2"/>
  <c r="B537" i="2"/>
  <c r="D537" i="2"/>
  <c r="E537" i="2"/>
  <c r="H537" i="2" s="1"/>
  <c r="A538" i="2"/>
  <c r="B538" i="2"/>
  <c r="D538" i="2"/>
  <c r="E538" i="2"/>
  <c r="H538" i="2" s="1"/>
  <c r="A539" i="2"/>
  <c r="B539" i="2"/>
  <c r="D539" i="2"/>
  <c r="E539" i="2"/>
  <c r="H539" i="2" s="1"/>
  <c r="A540" i="2"/>
  <c r="B540" i="2"/>
  <c r="D540" i="2"/>
  <c r="E540" i="2"/>
  <c r="H540" i="2" s="1"/>
  <c r="A541" i="2"/>
  <c r="B541" i="2"/>
  <c r="D541" i="2"/>
  <c r="E541" i="2"/>
  <c r="H541" i="2" s="1"/>
  <c r="A542" i="2"/>
  <c r="B542" i="2"/>
  <c r="D542" i="2"/>
  <c r="E542" i="2"/>
  <c r="H542" i="2" s="1"/>
  <c r="A543" i="2"/>
  <c r="B543" i="2"/>
  <c r="D543" i="2"/>
  <c r="E543" i="2"/>
  <c r="H543" i="2" s="1"/>
  <c r="A544" i="2"/>
  <c r="B544" i="2"/>
  <c r="D544" i="2"/>
  <c r="E544" i="2"/>
  <c r="H544" i="2" s="1"/>
  <c r="A545" i="2"/>
  <c r="B545" i="2"/>
  <c r="D545" i="2"/>
  <c r="E545" i="2"/>
  <c r="H545" i="2" s="1"/>
  <c r="A546" i="2"/>
  <c r="B546" i="2"/>
  <c r="D546" i="2"/>
  <c r="E546" i="2"/>
  <c r="H546" i="2" s="1"/>
  <c r="A547" i="2"/>
  <c r="B547" i="2"/>
  <c r="D547" i="2"/>
  <c r="E547" i="2"/>
  <c r="H547" i="2" s="1"/>
  <c r="A548" i="2"/>
  <c r="B548" i="2"/>
  <c r="D548" i="2"/>
  <c r="E548" i="2"/>
  <c r="H548" i="2" s="1"/>
  <c r="A549" i="2"/>
  <c r="B549" i="2"/>
  <c r="D549" i="2"/>
  <c r="E549" i="2"/>
  <c r="H549" i="2" s="1"/>
  <c r="A550" i="2"/>
  <c r="B550" i="2"/>
  <c r="D550" i="2"/>
  <c r="E550" i="2"/>
  <c r="H550" i="2" s="1"/>
  <c r="A551" i="2"/>
  <c r="B551" i="2"/>
  <c r="D551" i="2"/>
  <c r="E551" i="2"/>
  <c r="H551" i="2" s="1"/>
  <c r="A552" i="2"/>
  <c r="B552" i="2"/>
  <c r="D552" i="2"/>
  <c r="E552" i="2"/>
  <c r="H552" i="2" s="1"/>
  <c r="A553" i="2"/>
  <c r="B553" i="2"/>
  <c r="D553" i="2"/>
  <c r="E553" i="2"/>
  <c r="H553" i="2" s="1"/>
  <c r="A554" i="2"/>
  <c r="B554" i="2"/>
  <c r="D554" i="2"/>
  <c r="E554" i="2"/>
  <c r="H554" i="2" s="1"/>
  <c r="A555" i="2"/>
  <c r="B555" i="2"/>
  <c r="D555" i="2"/>
  <c r="E555" i="2"/>
  <c r="H555" i="2" s="1"/>
  <c r="A556" i="2"/>
  <c r="B556" i="2"/>
  <c r="D556" i="2"/>
  <c r="E556" i="2"/>
  <c r="H556" i="2" s="1"/>
  <c r="A557" i="2"/>
  <c r="B557" i="2"/>
  <c r="D557" i="2"/>
  <c r="E557" i="2"/>
  <c r="H557" i="2" s="1"/>
  <c r="A558" i="2"/>
  <c r="B558" i="2"/>
  <c r="D558" i="2"/>
  <c r="E558" i="2"/>
  <c r="H558" i="2" s="1"/>
  <c r="A559" i="2"/>
  <c r="B559" i="2"/>
  <c r="D559" i="2"/>
  <c r="E559" i="2"/>
  <c r="H559" i="2" s="1"/>
  <c r="A560" i="2"/>
  <c r="B560" i="2"/>
  <c r="D560" i="2"/>
  <c r="E560" i="2"/>
  <c r="H560" i="2" s="1"/>
  <c r="A561" i="2"/>
  <c r="B561" i="2"/>
  <c r="D561" i="2"/>
  <c r="E561" i="2"/>
  <c r="H561" i="2" s="1"/>
  <c r="A562" i="2"/>
  <c r="B562" i="2"/>
  <c r="D562" i="2"/>
  <c r="E562" i="2"/>
  <c r="H562" i="2" s="1"/>
  <c r="A563" i="2"/>
  <c r="B563" i="2"/>
  <c r="D563" i="2"/>
  <c r="E563" i="2"/>
  <c r="H563" i="2" s="1"/>
  <c r="A564" i="2"/>
  <c r="B564" i="2"/>
  <c r="D564" i="2"/>
  <c r="E564" i="2"/>
  <c r="H564" i="2" s="1"/>
  <c r="A565" i="2"/>
  <c r="B565" i="2"/>
  <c r="D565" i="2"/>
  <c r="E565" i="2"/>
  <c r="H565" i="2" s="1"/>
  <c r="A566" i="2"/>
  <c r="B566" i="2"/>
  <c r="D566" i="2"/>
  <c r="E566" i="2"/>
  <c r="H566" i="2" s="1"/>
  <c r="A567" i="2"/>
  <c r="B567" i="2"/>
  <c r="D567" i="2"/>
  <c r="E567" i="2"/>
  <c r="H567" i="2" s="1"/>
  <c r="A568" i="2"/>
  <c r="B568" i="2"/>
  <c r="D568" i="2"/>
  <c r="E568" i="2"/>
  <c r="H568" i="2" s="1"/>
  <c r="A569" i="2"/>
  <c r="B569" i="2"/>
  <c r="D569" i="2"/>
  <c r="E569" i="2"/>
  <c r="H569" i="2" s="1"/>
  <c r="A570" i="2"/>
  <c r="B570" i="2"/>
  <c r="D570" i="2"/>
  <c r="E570" i="2"/>
  <c r="H570" i="2" s="1"/>
  <c r="A571" i="2"/>
  <c r="B571" i="2"/>
  <c r="D571" i="2"/>
  <c r="E571" i="2"/>
  <c r="H571" i="2" s="1"/>
  <c r="A572" i="2"/>
  <c r="B572" i="2"/>
  <c r="D572" i="2"/>
  <c r="E572" i="2"/>
  <c r="H572" i="2" s="1"/>
  <c r="A573" i="2"/>
  <c r="B573" i="2"/>
  <c r="D573" i="2"/>
  <c r="E573" i="2"/>
  <c r="H573" i="2" s="1"/>
  <c r="A574" i="2"/>
  <c r="B574" i="2"/>
  <c r="D574" i="2"/>
  <c r="E574" i="2"/>
  <c r="H574" i="2" s="1"/>
  <c r="A575" i="2"/>
  <c r="B575" i="2"/>
  <c r="D575" i="2"/>
  <c r="E575" i="2"/>
  <c r="H575" i="2" s="1"/>
  <c r="A576" i="2"/>
  <c r="B576" i="2"/>
  <c r="D576" i="2"/>
  <c r="E576" i="2"/>
  <c r="H576" i="2" s="1"/>
  <c r="A577" i="2"/>
  <c r="B577" i="2"/>
  <c r="D577" i="2"/>
  <c r="E577" i="2"/>
  <c r="H577" i="2" s="1"/>
  <c r="A578" i="2"/>
  <c r="B578" i="2"/>
  <c r="D578" i="2"/>
  <c r="E578" i="2"/>
  <c r="H578" i="2" s="1"/>
  <c r="A579" i="2"/>
  <c r="B579" i="2"/>
  <c r="D579" i="2"/>
  <c r="E579" i="2"/>
  <c r="H579" i="2" s="1"/>
  <c r="A580" i="2"/>
  <c r="B580" i="2"/>
  <c r="D580" i="2"/>
  <c r="E580" i="2"/>
  <c r="H580" i="2" s="1"/>
  <c r="A581" i="2"/>
  <c r="B581" i="2"/>
  <c r="D581" i="2"/>
  <c r="E581" i="2"/>
  <c r="H581" i="2" s="1"/>
  <c r="A582" i="2"/>
  <c r="B582" i="2"/>
  <c r="D582" i="2"/>
  <c r="E582" i="2"/>
  <c r="H582" i="2" s="1"/>
  <c r="A583" i="2"/>
  <c r="B583" i="2"/>
  <c r="D583" i="2"/>
  <c r="E583" i="2"/>
  <c r="H583" i="2" s="1"/>
  <c r="A584" i="2"/>
  <c r="B584" i="2"/>
  <c r="D584" i="2"/>
  <c r="E584" i="2"/>
  <c r="H584" i="2" s="1"/>
  <c r="A585" i="2"/>
  <c r="B585" i="2"/>
  <c r="D585" i="2"/>
  <c r="E585" i="2"/>
  <c r="H585" i="2" s="1"/>
  <c r="A586" i="2"/>
  <c r="B586" i="2"/>
  <c r="D586" i="2"/>
  <c r="E586" i="2"/>
  <c r="H586" i="2" s="1"/>
  <c r="A587" i="2"/>
  <c r="B587" i="2"/>
  <c r="D587" i="2"/>
  <c r="E587" i="2"/>
  <c r="H587" i="2" s="1"/>
  <c r="A588" i="2"/>
  <c r="B588" i="2"/>
  <c r="D588" i="2"/>
  <c r="E588" i="2"/>
  <c r="H588" i="2" s="1"/>
  <c r="A589" i="2"/>
  <c r="B589" i="2"/>
  <c r="D589" i="2"/>
  <c r="E589" i="2"/>
  <c r="H589" i="2" s="1"/>
  <c r="A590" i="2"/>
  <c r="B590" i="2"/>
  <c r="D590" i="2"/>
  <c r="E590" i="2"/>
  <c r="H590" i="2" s="1"/>
  <c r="A591" i="2"/>
  <c r="B591" i="2"/>
  <c r="D591" i="2"/>
  <c r="E591" i="2"/>
  <c r="H591" i="2" s="1"/>
  <c r="A592" i="2"/>
  <c r="B592" i="2"/>
  <c r="D592" i="2"/>
  <c r="E592" i="2"/>
  <c r="H592" i="2" s="1"/>
  <c r="A593" i="2"/>
  <c r="B593" i="2"/>
  <c r="D593" i="2"/>
  <c r="E593" i="2"/>
  <c r="H593" i="2" s="1"/>
  <c r="A594" i="2"/>
  <c r="B594" i="2"/>
  <c r="D594" i="2"/>
  <c r="E594" i="2"/>
  <c r="H594" i="2" s="1"/>
  <c r="A595" i="2"/>
  <c r="B595" i="2"/>
  <c r="D595" i="2"/>
  <c r="E595" i="2"/>
  <c r="H595" i="2" s="1"/>
  <c r="A596" i="2"/>
  <c r="B596" i="2"/>
  <c r="D596" i="2"/>
  <c r="E596" i="2"/>
  <c r="H596" i="2" s="1"/>
  <c r="A597" i="2"/>
  <c r="B597" i="2"/>
  <c r="D597" i="2"/>
  <c r="E597" i="2"/>
  <c r="H597" i="2" s="1"/>
  <c r="A598" i="2"/>
  <c r="B598" i="2"/>
  <c r="D598" i="2"/>
  <c r="E598" i="2"/>
  <c r="H598" i="2" s="1"/>
  <c r="A599" i="2"/>
  <c r="B599" i="2"/>
  <c r="D599" i="2"/>
  <c r="E599" i="2"/>
  <c r="H599" i="2" s="1"/>
  <c r="A600" i="2"/>
  <c r="B600" i="2"/>
  <c r="D600" i="2"/>
  <c r="E600" i="2"/>
  <c r="H600" i="2" s="1"/>
  <c r="A601" i="2"/>
  <c r="B601" i="2"/>
  <c r="D601" i="2"/>
  <c r="E601" i="2"/>
  <c r="H601" i="2" s="1"/>
  <c r="A602" i="2"/>
  <c r="B602" i="2"/>
  <c r="D602" i="2"/>
  <c r="E602" i="2"/>
  <c r="H602" i="2" s="1"/>
  <c r="A603" i="2"/>
  <c r="B603" i="2"/>
  <c r="D603" i="2"/>
  <c r="E603" i="2"/>
  <c r="H603" i="2" s="1"/>
  <c r="A604" i="2"/>
  <c r="B604" i="2"/>
  <c r="D604" i="2"/>
  <c r="E604" i="2"/>
  <c r="H604" i="2" s="1"/>
  <c r="A605" i="2"/>
  <c r="B605" i="2"/>
  <c r="D605" i="2"/>
  <c r="E605" i="2"/>
  <c r="H605" i="2" s="1"/>
  <c r="A606" i="2"/>
  <c r="B606" i="2"/>
  <c r="D606" i="2"/>
  <c r="E606" i="2"/>
  <c r="H606" i="2" s="1"/>
  <c r="A607" i="2"/>
  <c r="B607" i="2"/>
  <c r="D607" i="2"/>
  <c r="E607" i="2"/>
  <c r="H607" i="2" s="1"/>
  <c r="A608" i="2"/>
  <c r="B608" i="2"/>
  <c r="D608" i="2"/>
  <c r="E608" i="2"/>
  <c r="H608" i="2" s="1"/>
  <c r="A609" i="2"/>
  <c r="B609" i="2"/>
  <c r="D609" i="2"/>
  <c r="E609" i="2"/>
  <c r="H609" i="2" s="1"/>
  <c r="A610" i="2"/>
  <c r="B610" i="2"/>
  <c r="D610" i="2"/>
  <c r="E610" i="2"/>
  <c r="H610" i="2" s="1"/>
  <c r="A611" i="2"/>
  <c r="B611" i="2"/>
  <c r="D611" i="2"/>
  <c r="E611" i="2"/>
  <c r="H611" i="2" s="1"/>
  <c r="A612" i="2"/>
  <c r="B612" i="2"/>
  <c r="D612" i="2"/>
  <c r="E612" i="2"/>
  <c r="H612" i="2" s="1"/>
  <c r="A613" i="2"/>
  <c r="B613" i="2"/>
  <c r="D613" i="2"/>
  <c r="E613" i="2"/>
  <c r="H613" i="2" s="1"/>
  <c r="A614" i="2"/>
  <c r="B614" i="2"/>
  <c r="D614" i="2"/>
  <c r="E614" i="2"/>
  <c r="H614" i="2" s="1"/>
  <c r="A615" i="2"/>
  <c r="B615" i="2"/>
  <c r="D615" i="2"/>
  <c r="E615" i="2"/>
  <c r="H615" i="2" s="1"/>
  <c r="A616" i="2"/>
  <c r="B616" i="2"/>
  <c r="D616" i="2"/>
  <c r="E616" i="2"/>
  <c r="H616" i="2" s="1"/>
  <c r="A617" i="2"/>
  <c r="B617" i="2"/>
  <c r="D617" i="2"/>
  <c r="E617" i="2"/>
  <c r="H617" i="2" s="1"/>
  <c r="A618" i="2"/>
  <c r="B618" i="2"/>
  <c r="D618" i="2"/>
  <c r="E618" i="2"/>
  <c r="H618" i="2" s="1"/>
  <c r="A619" i="2"/>
  <c r="B619" i="2"/>
  <c r="D619" i="2"/>
  <c r="E619" i="2"/>
  <c r="H619" i="2" s="1"/>
  <c r="A620" i="2"/>
  <c r="B620" i="2"/>
  <c r="D620" i="2"/>
  <c r="E620" i="2"/>
  <c r="H620" i="2" s="1"/>
  <c r="A621" i="2"/>
  <c r="B621" i="2"/>
  <c r="D621" i="2"/>
  <c r="E621" i="2"/>
  <c r="H621" i="2" s="1"/>
  <c r="A622" i="2"/>
  <c r="B622" i="2"/>
  <c r="D622" i="2"/>
  <c r="E622" i="2"/>
  <c r="H622" i="2" s="1"/>
  <c r="A623" i="2"/>
  <c r="B623" i="2"/>
  <c r="D623" i="2"/>
  <c r="E623" i="2"/>
  <c r="H623" i="2" s="1"/>
  <c r="A624" i="2"/>
  <c r="B624" i="2"/>
  <c r="D624" i="2"/>
  <c r="E624" i="2"/>
  <c r="H624" i="2" s="1"/>
  <c r="A625" i="2"/>
  <c r="B625" i="2"/>
  <c r="D625" i="2"/>
  <c r="E625" i="2"/>
  <c r="H625" i="2" s="1"/>
  <c r="A626" i="2"/>
  <c r="B626" i="2"/>
  <c r="D626" i="2"/>
  <c r="E626" i="2"/>
  <c r="H626" i="2" s="1"/>
  <c r="A627" i="2"/>
  <c r="B627" i="2"/>
  <c r="D627" i="2"/>
  <c r="E627" i="2"/>
  <c r="H627" i="2" s="1"/>
  <c r="A628" i="2"/>
  <c r="B628" i="2"/>
  <c r="D628" i="2"/>
  <c r="E628" i="2"/>
  <c r="H628" i="2" s="1"/>
  <c r="A629" i="2"/>
  <c r="B629" i="2"/>
  <c r="D629" i="2"/>
  <c r="E629" i="2"/>
  <c r="H629" i="2" s="1"/>
  <c r="A630" i="2"/>
  <c r="B630" i="2"/>
  <c r="D630" i="2"/>
  <c r="E630" i="2"/>
  <c r="H630" i="2" s="1"/>
  <c r="A631" i="2"/>
  <c r="B631" i="2"/>
  <c r="D631" i="2"/>
  <c r="E631" i="2"/>
  <c r="H631" i="2" s="1"/>
  <c r="A632" i="2"/>
  <c r="B632" i="2"/>
  <c r="D632" i="2"/>
  <c r="E632" i="2"/>
  <c r="H632" i="2" s="1"/>
  <c r="A633" i="2"/>
  <c r="B633" i="2"/>
  <c r="D633" i="2"/>
  <c r="E633" i="2"/>
  <c r="H633" i="2" s="1"/>
  <c r="A634" i="2"/>
  <c r="B634" i="2"/>
  <c r="D634" i="2"/>
  <c r="E634" i="2"/>
  <c r="H634" i="2" s="1"/>
  <c r="A635" i="2"/>
  <c r="B635" i="2"/>
  <c r="D635" i="2"/>
  <c r="E635" i="2"/>
  <c r="H635" i="2" s="1"/>
  <c r="A636" i="2"/>
  <c r="B636" i="2"/>
  <c r="D636" i="2"/>
  <c r="E636" i="2"/>
  <c r="H636" i="2" s="1"/>
  <c r="A637" i="2"/>
  <c r="B637" i="2"/>
  <c r="D637" i="2"/>
  <c r="E637" i="2"/>
  <c r="H637" i="2" s="1"/>
  <c r="A638" i="2"/>
  <c r="B638" i="2"/>
  <c r="D638" i="2"/>
  <c r="E638" i="2"/>
  <c r="H638" i="2" s="1"/>
  <c r="A639" i="2"/>
  <c r="B639" i="2"/>
  <c r="D639" i="2"/>
  <c r="E639" i="2"/>
  <c r="H639" i="2" s="1"/>
  <c r="A640" i="2"/>
  <c r="B640" i="2"/>
  <c r="D640" i="2"/>
  <c r="E640" i="2"/>
  <c r="H640" i="2" s="1"/>
  <c r="A641" i="2"/>
  <c r="B641" i="2"/>
  <c r="D641" i="2"/>
  <c r="E641" i="2"/>
  <c r="H641" i="2" s="1"/>
  <c r="A642" i="2"/>
  <c r="B642" i="2"/>
  <c r="D642" i="2"/>
  <c r="E642" i="2"/>
  <c r="H642" i="2" s="1"/>
  <c r="A643" i="2"/>
  <c r="B643" i="2"/>
  <c r="D643" i="2"/>
  <c r="E643" i="2"/>
  <c r="H643" i="2" s="1"/>
  <c r="A644" i="2"/>
  <c r="B644" i="2"/>
  <c r="D644" i="2"/>
  <c r="E644" i="2"/>
  <c r="H644" i="2" s="1"/>
  <c r="A645" i="2"/>
  <c r="B645" i="2"/>
  <c r="D645" i="2"/>
  <c r="E645" i="2"/>
  <c r="H645" i="2" s="1"/>
  <c r="A646" i="2"/>
  <c r="B646" i="2"/>
  <c r="D646" i="2"/>
  <c r="E646" i="2"/>
  <c r="H646" i="2" s="1"/>
  <c r="A647" i="2"/>
  <c r="B647" i="2"/>
  <c r="D647" i="2"/>
  <c r="E647" i="2"/>
  <c r="H647" i="2" s="1"/>
  <c r="A648" i="2"/>
  <c r="B648" i="2"/>
  <c r="D648" i="2"/>
  <c r="E648" i="2"/>
  <c r="H648" i="2" s="1"/>
  <c r="A649" i="2"/>
  <c r="B649" i="2"/>
  <c r="D649" i="2"/>
  <c r="E649" i="2"/>
  <c r="H649" i="2" s="1"/>
  <c r="A650" i="2"/>
  <c r="B650" i="2"/>
  <c r="D650" i="2"/>
  <c r="E650" i="2"/>
  <c r="H650" i="2" s="1"/>
  <c r="A651" i="2"/>
  <c r="B651" i="2"/>
  <c r="D651" i="2"/>
  <c r="E651" i="2"/>
  <c r="H651" i="2" s="1"/>
  <c r="A652" i="2"/>
  <c r="B652" i="2"/>
  <c r="D652" i="2"/>
  <c r="E652" i="2"/>
  <c r="H652" i="2" s="1"/>
  <c r="A653" i="2"/>
  <c r="B653" i="2"/>
  <c r="D653" i="2"/>
  <c r="E653" i="2"/>
  <c r="H653" i="2" s="1"/>
  <c r="A654" i="2"/>
  <c r="B654" i="2"/>
  <c r="D654" i="2"/>
  <c r="E654" i="2"/>
  <c r="H654" i="2" s="1"/>
  <c r="A655" i="2"/>
  <c r="B655" i="2"/>
  <c r="D655" i="2"/>
  <c r="E655" i="2"/>
  <c r="H655" i="2" s="1"/>
  <c r="A656" i="2"/>
  <c r="B656" i="2"/>
  <c r="D656" i="2"/>
  <c r="E656" i="2"/>
  <c r="H656" i="2" s="1"/>
  <c r="A657" i="2"/>
  <c r="B657" i="2"/>
  <c r="D657" i="2"/>
  <c r="E657" i="2"/>
  <c r="H657" i="2" s="1"/>
  <c r="A658" i="2"/>
  <c r="B658" i="2"/>
  <c r="D658" i="2"/>
  <c r="E658" i="2"/>
  <c r="H658" i="2" s="1"/>
  <c r="A659" i="2"/>
  <c r="B659" i="2"/>
  <c r="D659" i="2"/>
  <c r="E659" i="2"/>
  <c r="H659" i="2" s="1"/>
  <c r="A660" i="2"/>
  <c r="B660" i="2"/>
  <c r="D660" i="2"/>
  <c r="E660" i="2"/>
  <c r="H660" i="2" s="1"/>
  <c r="A661" i="2"/>
  <c r="B661" i="2"/>
  <c r="D661" i="2"/>
  <c r="E661" i="2"/>
  <c r="H661" i="2" s="1"/>
  <c r="A662" i="2"/>
  <c r="B662" i="2"/>
  <c r="D662" i="2"/>
  <c r="E662" i="2"/>
  <c r="H662" i="2" s="1"/>
  <c r="A663" i="2"/>
  <c r="B663" i="2"/>
  <c r="D663" i="2"/>
  <c r="E663" i="2"/>
  <c r="H663" i="2" s="1"/>
  <c r="A664" i="2"/>
  <c r="B664" i="2"/>
  <c r="D664" i="2"/>
  <c r="E664" i="2"/>
  <c r="H664" i="2" s="1"/>
  <c r="A665" i="2"/>
  <c r="B665" i="2"/>
  <c r="D665" i="2"/>
  <c r="E665" i="2"/>
  <c r="H665" i="2" s="1"/>
  <c r="A666" i="2"/>
  <c r="B666" i="2"/>
  <c r="D666" i="2"/>
  <c r="E666" i="2"/>
  <c r="H666" i="2" s="1"/>
  <c r="A667" i="2"/>
  <c r="B667" i="2"/>
  <c r="D667" i="2"/>
  <c r="E667" i="2"/>
  <c r="H667" i="2" s="1"/>
  <c r="A668" i="2"/>
  <c r="B668" i="2"/>
  <c r="D668" i="2"/>
  <c r="E668" i="2"/>
  <c r="H668" i="2" s="1"/>
  <c r="A669" i="2"/>
  <c r="B669" i="2"/>
  <c r="D669" i="2"/>
  <c r="E669" i="2"/>
  <c r="H669" i="2" s="1"/>
  <c r="A670" i="2"/>
  <c r="B670" i="2"/>
  <c r="D670" i="2"/>
  <c r="E670" i="2"/>
  <c r="H670" i="2" s="1"/>
  <c r="A671" i="2"/>
  <c r="B671" i="2"/>
  <c r="D671" i="2"/>
  <c r="E671" i="2"/>
  <c r="H671" i="2" s="1"/>
  <c r="A672" i="2"/>
  <c r="B672" i="2"/>
  <c r="D672" i="2"/>
  <c r="E672" i="2"/>
  <c r="H672" i="2" s="1"/>
  <c r="A673" i="2"/>
  <c r="B673" i="2"/>
  <c r="D673" i="2"/>
  <c r="E673" i="2"/>
  <c r="H673" i="2" s="1"/>
  <c r="A674" i="2"/>
  <c r="B674" i="2"/>
  <c r="D674" i="2"/>
  <c r="E674" i="2"/>
  <c r="H674" i="2" s="1"/>
  <c r="A675" i="2"/>
  <c r="B675" i="2"/>
  <c r="D675" i="2"/>
  <c r="E675" i="2"/>
  <c r="H675" i="2" s="1"/>
  <c r="A676" i="2"/>
  <c r="B676" i="2"/>
  <c r="D676" i="2"/>
  <c r="E676" i="2"/>
  <c r="H676" i="2" s="1"/>
  <c r="A677" i="2"/>
  <c r="B677" i="2"/>
  <c r="D677" i="2"/>
  <c r="E677" i="2"/>
  <c r="H677" i="2" s="1"/>
  <c r="A678" i="2"/>
  <c r="B678" i="2"/>
  <c r="D678" i="2"/>
  <c r="E678" i="2"/>
  <c r="H678" i="2" s="1"/>
  <c r="A679" i="2"/>
  <c r="B679" i="2"/>
  <c r="D679" i="2"/>
  <c r="E679" i="2"/>
  <c r="H679" i="2" s="1"/>
  <c r="A680" i="2"/>
  <c r="B680" i="2"/>
  <c r="D680" i="2"/>
  <c r="E680" i="2"/>
  <c r="H680" i="2" s="1"/>
  <c r="A681" i="2"/>
  <c r="B681" i="2"/>
  <c r="D681" i="2"/>
  <c r="E681" i="2"/>
  <c r="H681" i="2" s="1"/>
  <c r="A682" i="2"/>
  <c r="B682" i="2"/>
  <c r="D682" i="2"/>
  <c r="E682" i="2"/>
  <c r="H682" i="2" s="1"/>
  <c r="A683" i="2"/>
  <c r="B683" i="2"/>
  <c r="D683" i="2"/>
  <c r="E683" i="2"/>
  <c r="H683" i="2" s="1"/>
  <c r="A684" i="2"/>
  <c r="B684" i="2"/>
  <c r="D684" i="2"/>
  <c r="E684" i="2"/>
  <c r="H684" i="2" s="1"/>
  <c r="A685" i="2"/>
  <c r="B685" i="2"/>
  <c r="D685" i="2"/>
  <c r="E685" i="2"/>
  <c r="H685" i="2" s="1"/>
  <c r="A686" i="2"/>
  <c r="B686" i="2"/>
  <c r="D686" i="2"/>
  <c r="E686" i="2"/>
  <c r="H686" i="2" s="1"/>
  <c r="A687" i="2"/>
  <c r="B687" i="2"/>
  <c r="D687" i="2"/>
  <c r="E687" i="2"/>
  <c r="H687" i="2" s="1"/>
  <c r="A688" i="2"/>
  <c r="B688" i="2"/>
  <c r="D688" i="2"/>
  <c r="E688" i="2"/>
  <c r="H688" i="2" s="1"/>
  <c r="A689" i="2"/>
  <c r="B689" i="2"/>
  <c r="D689" i="2"/>
  <c r="E689" i="2"/>
  <c r="H689" i="2" s="1"/>
  <c r="A690" i="2"/>
  <c r="B690" i="2"/>
  <c r="D690" i="2"/>
  <c r="E690" i="2"/>
  <c r="H690" i="2" s="1"/>
  <c r="A691" i="2"/>
  <c r="B691" i="2"/>
  <c r="D691" i="2"/>
  <c r="E691" i="2"/>
  <c r="H691" i="2" s="1"/>
  <c r="A692" i="2"/>
  <c r="B692" i="2"/>
  <c r="D692" i="2"/>
  <c r="E692" i="2"/>
  <c r="H692" i="2" s="1"/>
  <c r="A693" i="2"/>
  <c r="B693" i="2"/>
  <c r="D693" i="2"/>
  <c r="E693" i="2"/>
  <c r="H693" i="2" s="1"/>
  <c r="A694" i="2"/>
  <c r="B694" i="2"/>
  <c r="D694" i="2"/>
  <c r="E694" i="2"/>
  <c r="H694" i="2" s="1"/>
  <c r="A695" i="2"/>
  <c r="B695" i="2"/>
  <c r="D695" i="2"/>
  <c r="E695" i="2"/>
  <c r="H695" i="2" s="1"/>
  <c r="A696" i="2"/>
  <c r="B696" i="2"/>
  <c r="D696" i="2"/>
  <c r="E696" i="2"/>
  <c r="H696" i="2" s="1"/>
  <c r="A697" i="2"/>
  <c r="B697" i="2"/>
  <c r="D697" i="2"/>
  <c r="E697" i="2"/>
  <c r="H697" i="2" s="1"/>
  <c r="A698" i="2"/>
  <c r="B698" i="2"/>
  <c r="D698" i="2"/>
  <c r="E698" i="2"/>
  <c r="H698" i="2" s="1"/>
  <c r="A699" i="2"/>
  <c r="B699" i="2"/>
  <c r="D699" i="2"/>
  <c r="E699" i="2"/>
  <c r="H699" i="2" s="1"/>
  <c r="A700" i="2"/>
  <c r="B700" i="2"/>
  <c r="D700" i="2"/>
  <c r="E700" i="2"/>
  <c r="H700" i="2" s="1"/>
  <c r="A701" i="2"/>
  <c r="B701" i="2"/>
  <c r="D701" i="2"/>
  <c r="E701" i="2"/>
  <c r="H701" i="2" s="1"/>
  <c r="A702" i="2"/>
  <c r="B702" i="2"/>
  <c r="D702" i="2"/>
  <c r="E702" i="2"/>
  <c r="H702" i="2" s="1"/>
  <c r="A703" i="2"/>
  <c r="B703" i="2"/>
  <c r="D703" i="2"/>
  <c r="E703" i="2"/>
  <c r="H703" i="2" s="1"/>
  <c r="A704" i="2"/>
  <c r="B704" i="2"/>
  <c r="D704" i="2"/>
  <c r="E704" i="2"/>
  <c r="H704" i="2" s="1"/>
  <c r="A705" i="2"/>
  <c r="B705" i="2"/>
  <c r="D705" i="2"/>
  <c r="E705" i="2"/>
  <c r="H705" i="2" s="1"/>
  <c r="A706" i="2"/>
  <c r="B706" i="2"/>
  <c r="D706" i="2"/>
  <c r="E706" i="2"/>
  <c r="H706" i="2" s="1"/>
  <c r="A707" i="2"/>
  <c r="B707" i="2"/>
  <c r="D707" i="2"/>
  <c r="E707" i="2"/>
  <c r="H707" i="2" s="1"/>
  <c r="A708" i="2"/>
  <c r="B708" i="2"/>
  <c r="D708" i="2"/>
  <c r="E708" i="2"/>
  <c r="H708" i="2" s="1"/>
  <c r="A709" i="2"/>
  <c r="B709" i="2"/>
  <c r="D709" i="2"/>
  <c r="E709" i="2"/>
  <c r="H709" i="2" s="1"/>
  <c r="A710" i="2"/>
  <c r="B710" i="2"/>
  <c r="D710" i="2"/>
  <c r="E710" i="2"/>
  <c r="H710" i="2" s="1"/>
  <c r="A711" i="2"/>
  <c r="B711" i="2"/>
  <c r="D711" i="2"/>
  <c r="E711" i="2"/>
  <c r="H711" i="2" s="1"/>
  <c r="A712" i="2"/>
  <c r="B712" i="2"/>
  <c r="D712" i="2"/>
  <c r="E712" i="2"/>
  <c r="H712" i="2" s="1"/>
  <c r="A713" i="2"/>
  <c r="B713" i="2"/>
  <c r="D713" i="2"/>
  <c r="E713" i="2"/>
  <c r="H713" i="2" s="1"/>
  <c r="A714" i="2"/>
  <c r="B714" i="2"/>
  <c r="D714" i="2"/>
  <c r="E714" i="2"/>
  <c r="H714" i="2" s="1"/>
  <c r="A715" i="2"/>
  <c r="B715" i="2"/>
  <c r="D715" i="2"/>
  <c r="E715" i="2"/>
  <c r="H715" i="2" s="1"/>
  <c r="A716" i="2"/>
  <c r="B716" i="2"/>
  <c r="D716" i="2"/>
  <c r="E716" i="2"/>
  <c r="H716" i="2" s="1"/>
  <c r="A717" i="2"/>
  <c r="B717" i="2"/>
  <c r="D717" i="2"/>
  <c r="E717" i="2"/>
  <c r="H717" i="2" s="1"/>
  <c r="A718" i="2"/>
  <c r="B718" i="2"/>
  <c r="D718" i="2"/>
  <c r="E718" i="2"/>
  <c r="H718" i="2" s="1"/>
  <c r="A719" i="2"/>
  <c r="B719" i="2"/>
  <c r="D719" i="2"/>
  <c r="E719" i="2"/>
  <c r="H719" i="2" s="1"/>
  <c r="A720" i="2"/>
  <c r="B720" i="2"/>
  <c r="D720" i="2"/>
  <c r="E720" i="2"/>
  <c r="H720" i="2" s="1"/>
  <c r="A721" i="2"/>
  <c r="B721" i="2"/>
  <c r="D721" i="2"/>
  <c r="E721" i="2"/>
  <c r="H721" i="2" s="1"/>
  <c r="A722" i="2"/>
  <c r="B722" i="2"/>
  <c r="D722" i="2"/>
  <c r="E722" i="2"/>
  <c r="H722" i="2" s="1"/>
  <c r="A723" i="2"/>
  <c r="B723" i="2"/>
  <c r="D723" i="2"/>
  <c r="E723" i="2"/>
  <c r="H723" i="2" s="1"/>
  <c r="A724" i="2"/>
  <c r="B724" i="2"/>
  <c r="D724" i="2"/>
  <c r="E724" i="2"/>
  <c r="H724" i="2" s="1"/>
  <c r="A725" i="2"/>
  <c r="B725" i="2"/>
  <c r="D725" i="2"/>
  <c r="E725" i="2"/>
  <c r="H725" i="2" s="1"/>
  <c r="A726" i="2"/>
  <c r="B726" i="2"/>
  <c r="D726" i="2"/>
  <c r="E726" i="2"/>
  <c r="H726" i="2" s="1"/>
  <c r="A727" i="2"/>
  <c r="B727" i="2"/>
  <c r="D727" i="2"/>
  <c r="E727" i="2"/>
  <c r="H727" i="2" s="1"/>
  <c r="A728" i="2"/>
  <c r="B728" i="2"/>
  <c r="D728" i="2"/>
  <c r="E728" i="2"/>
  <c r="H728" i="2" s="1"/>
  <c r="A729" i="2"/>
  <c r="B729" i="2"/>
  <c r="D729" i="2"/>
  <c r="E729" i="2"/>
  <c r="H729" i="2" s="1"/>
  <c r="A730" i="2"/>
  <c r="B730" i="2"/>
  <c r="D730" i="2"/>
  <c r="E730" i="2"/>
  <c r="H730" i="2" s="1"/>
  <c r="A731" i="2"/>
  <c r="B731" i="2"/>
  <c r="D731" i="2"/>
  <c r="E731" i="2"/>
  <c r="H731" i="2" s="1"/>
  <c r="A732" i="2"/>
  <c r="B732" i="2"/>
  <c r="D732" i="2"/>
  <c r="E732" i="2"/>
  <c r="H732" i="2" s="1"/>
  <c r="A733" i="2"/>
  <c r="B733" i="2"/>
  <c r="D733" i="2"/>
  <c r="E733" i="2"/>
  <c r="H733" i="2" s="1"/>
  <c r="A734" i="2"/>
  <c r="B734" i="2"/>
  <c r="D734" i="2"/>
  <c r="E734" i="2"/>
  <c r="H734" i="2" s="1"/>
  <c r="A735" i="2"/>
  <c r="B735" i="2"/>
  <c r="D735" i="2"/>
  <c r="E735" i="2"/>
  <c r="H735" i="2" s="1"/>
  <c r="A736" i="2"/>
  <c r="B736" i="2"/>
  <c r="D736" i="2"/>
  <c r="E736" i="2"/>
  <c r="H736" i="2" s="1"/>
  <c r="A737" i="2"/>
  <c r="B737" i="2"/>
  <c r="D737" i="2"/>
  <c r="E737" i="2"/>
  <c r="H737" i="2" s="1"/>
  <c r="A738" i="2"/>
  <c r="B738" i="2"/>
  <c r="D738" i="2"/>
  <c r="E738" i="2"/>
  <c r="H738" i="2" s="1"/>
  <c r="A739" i="2"/>
  <c r="B739" i="2"/>
  <c r="D739" i="2"/>
  <c r="E739" i="2"/>
  <c r="H739" i="2" s="1"/>
  <c r="A740" i="2"/>
  <c r="B740" i="2"/>
  <c r="D740" i="2"/>
  <c r="E740" i="2"/>
  <c r="H740" i="2" s="1"/>
  <c r="A741" i="2"/>
  <c r="B741" i="2"/>
  <c r="D741" i="2"/>
  <c r="E741" i="2"/>
  <c r="H741" i="2" s="1"/>
  <c r="A742" i="2"/>
  <c r="B742" i="2"/>
  <c r="D742" i="2"/>
  <c r="E742" i="2"/>
  <c r="H742" i="2" s="1"/>
  <c r="A743" i="2"/>
  <c r="B743" i="2"/>
  <c r="D743" i="2"/>
  <c r="E743" i="2"/>
  <c r="H743" i="2" s="1"/>
  <c r="A744" i="2"/>
  <c r="B744" i="2"/>
  <c r="D744" i="2"/>
  <c r="E744" i="2"/>
  <c r="H744" i="2" s="1"/>
  <c r="A745" i="2"/>
  <c r="B745" i="2"/>
  <c r="D745" i="2"/>
  <c r="E745" i="2"/>
  <c r="H745" i="2" s="1"/>
  <c r="A746" i="2"/>
  <c r="B746" i="2"/>
  <c r="D746" i="2"/>
  <c r="E746" i="2"/>
  <c r="H746" i="2" s="1"/>
  <c r="A747" i="2"/>
  <c r="B747" i="2"/>
  <c r="D747" i="2"/>
  <c r="E747" i="2"/>
  <c r="H747" i="2" s="1"/>
  <c r="A748" i="2"/>
  <c r="B748" i="2"/>
  <c r="D748" i="2"/>
  <c r="E748" i="2"/>
  <c r="H748" i="2" s="1"/>
  <c r="A749" i="2"/>
  <c r="B749" i="2"/>
  <c r="D749" i="2"/>
  <c r="E749" i="2"/>
  <c r="H749" i="2" s="1"/>
  <c r="A750" i="2"/>
  <c r="B750" i="2"/>
  <c r="D750" i="2"/>
  <c r="E750" i="2"/>
  <c r="H750" i="2" s="1"/>
  <c r="A751" i="2"/>
  <c r="B751" i="2"/>
  <c r="D751" i="2"/>
  <c r="E751" i="2"/>
  <c r="H751" i="2" s="1"/>
  <c r="A752" i="2"/>
  <c r="B752" i="2"/>
  <c r="D752" i="2"/>
  <c r="E752" i="2"/>
  <c r="H752" i="2" s="1"/>
  <c r="A753" i="2"/>
  <c r="B753" i="2"/>
  <c r="D753" i="2"/>
  <c r="E753" i="2"/>
  <c r="H753" i="2" s="1"/>
  <c r="A754" i="2"/>
  <c r="B754" i="2"/>
  <c r="D754" i="2"/>
  <c r="E754" i="2"/>
  <c r="H754" i="2" s="1"/>
  <c r="A755" i="2"/>
  <c r="B755" i="2"/>
  <c r="D755" i="2"/>
  <c r="E755" i="2"/>
  <c r="H755" i="2" s="1"/>
  <c r="A756" i="2"/>
  <c r="B756" i="2"/>
  <c r="D756" i="2"/>
  <c r="E756" i="2"/>
  <c r="H756" i="2" s="1"/>
  <c r="A757" i="2"/>
  <c r="B757" i="2"/>
  <c r="D757" i="2"/>
  <c r="E757" i="2"/>
  <c r="H757" i="2" s="1"/>
  <c r="A758" i="2"/>
  <c r="B758" i="2"/>
  <c r="D758" i="2"/>
  <c r="E758" i="2"/>
  <c r="H758" i="2" s="1"/>
  <c r="A759" i="2"/>
  <c r="B759" i="2"/>
  <c r="D759" i="2"/>
  <c r="E759" i="2"/>
  <c r="H759" i="2" s="1"/>
  <c r="A760" i="2"/>
  <c r="B760" i="2"/>
  <c r="D760" i="2"/>
  <c r="E760" i="2"/>
  <c r="H760" i="2" s="1"/>
  <c r="A761" i="2"/>
  <c r="B761" i="2"/>
  <c r="D761" i="2"/>
  <c r="E761" i="2"/>
  <c r="H761" i="2" s="1"/>
  <c r="A762" i="2"/>
  <c r="B762" i="2"/>
  <c r="D762" i="2"/>
  <c r="E762" i="2"/>
  <c r="H762" i="2" s="1"/>
  <c r="A763" i="2"/>
  <c r="B763" i="2"/>
  <c r="D763" i="2"/>
  <c r="E763" i="2"/>
  <c r="H763" i="2" s="1"/>
  <c r="A764" i="2"/>
  <c r="B764" i="2"/>
  <c r="D764" i="2"/>
  <c r="E764" i="2"/>
  <c r="H764" i="2" s="1"/>
  <c r="A765" i="2"/>
  <c r="B765" i="2"/>
  <c r="D765" i="2"/>
  <c r="E765" i="2"/>
  <c r="H765" i="2" s="1"/>
  <c r="A766" i="2"/>
  <c r="B766" i="2"/>
  <c r="D766" i="2"/>
  <c r="E766" i="2"/>
  <c r="H766" i="2" s="1"/>
  <c r="A767" i="2"/>
  <c r="B767" i="2"/>
  <c r="D767" i="2"/>
  <c r="E767" i="2"/>
  <c r="H767" i="2" s="1"/>
  <c r="A768" i="2"/>
  <c r="B768" i="2"/>
  <c r="D768" i="2"/>
  <c r="E768" i="2"/>
  <c r="H768" i="2" s="1"/>
  <c r="A769" i="2"/>
  <c r="B769" i="2"/>
  <c r="D769" i="2"/>
  <c r="E769" i="2"/>
  <c r="H769" i="2" s="1"/>
  <c r="A770" i="2"/>
  <c r="B770" i="2"/>
  <c r="D770" i="2"/>
  <c r="E770" i="2"/>
  <c r="H770" i="2" s="1"/>
  <c r="A771" i="2"/>
  <c r="B771" i="2"/>
  <c r="D771" i="2"/>
  <c r="E771" i="2"/>
  <c r="H771" i="2" s="1"/>
  <c r="A772" i="2"/>
  <c r="B772" i="2"/>
  <c r="D772" i="2"/>
  <c r="E772" i="2"/>
  <c r="H772" i="2" s="1"/>
  <c r="A773" i="2"/>
  <c r="B773" i="2"/>
  <c r="D773" i="2"/>
  <c r="E773" i="2"/>
  <c r="H773" i="2" s="1"/>
  <c r="A774" i="2"/>
  <c r="B774" i="2"/>
  <c r="D774" i="2"/>
  <c r="E774" i="2"/>
  <c r="H774" i="2" s="1"/>
  <c r="A775" i="2"/>
  <c r="B775" i="2"/>
  <c r="D775" i="2"/>
  <c r="E775" i="2"/>
  <c r="H775" i="2" s="1"/>
  <c r="A776" i="2"/>
  <c r="B776" i="2"/>
  <c r="D776" i="2"/>
  <c r="E776" i="2"/>
  <c r="H776" i="2" s="1"/>
  <c r="A777" i="2"/>
  <c r="B777" i="2"/>
  <c r="D777" i="2"/>
  <c r="E777" i="2"/>
  <c r="H777" i="2" s="1"/>
  <c r="A778" i="2"/>
  <c r="B778" i="2"/>
  <c r="D778" i="2"/>
  <c r="E778" i="2"/>
  <c r="H778" i="2" s="1"/>
  <c r="A779" i="2"/>
  <c r="B779" i="2"/>
  <c r="D779" i="2"/>
  <c r="E779" i="2"/>
  <c r="H779" i="2" s="1"/>
  <c r="A780" i="2"/>
  <c r="B780" i="2"/>
  <c r="D780" i="2"/>
  <c r="E780" i="2"/>
  <c r="H780" i="2" s="1"/>
  <c r="A781" i="2"/>
  <c r="B781" i="2"/>
  <c r="D781" i="2"/>
  <c r="E781" i="2"/>
  <c r="H781" i="2" s="1"/>
  <c r="A782" i="2"/>
  <c r="B782" i="2"/>
  <c r="D782" i="2"/>
  <c r="E782" i="2"/>
  <c r="H782" i="2" s="1"/>
  <c r="A783" i="2"/>
  <c r="B783" i="2"/>
  <c r="D783" i="2"/>
  <c r="E783" i="2"/>
  <c r="H783" i="2" s="1"/>
  <c r="A784" i="2"/>
  <c r="B784" i="2"/>
  <c r="D784" i="2"/>
  <c r="E784" i="2"/>
  <c r="H784" i="2" s="1"/>
  <c r="A785" i="2"/>
  <c r="B785" i="2"/>
  <c r="D785" i="2"/>
  <c r="E785" i="2"/>
  <c r="H785" i="2" s="1"/>
  <c r="A786" i="2"/>
  <c r="B786" i="2"/>
  <c r="D786" i="2"/>
  <c r="E786" i="2"/>
  <c r="H786" i="2" s="1"/>
  <c r="A787" i="2"/>
  <c r="B787" i="2"/>
  <c r="D787" i="2"/>
  <c r="E787" i="2"/>
  <c r="H787" i="2" s="1"/>
  <c r="A788" i="2"/>
  <c r="B788" i="2"/>
  <c r="D788" i="2"/>
  <c r="E788" i="2"/>
  <c r="H788" i="2" s="1"/>
  <c r="A789" i="2"/>
  <c r="B789" i="2"/>
  <c r="D789" i="2"/>
  <c r="E789" i="2"/>
  <c r="H789" i="2" s="1"/>
  <c r="A790" i="2"/>
  <c r="B790" i="2"/>
  <c r="D790" i="2"/>
  <c r="E790" i="2"/>
  <c r="H790" i="2" s="1"/>
  <c r="A791" i="2"/>
  <c r="B791" i="2"/>
  <c r="D791" i="2"/>
  <c r="E791" i="2"/>
  <c r="H791" i="2" s="1"/>
  <c r="A792" i="2"/>
  <c r="B792" i="2"/>
  <c r="D792" i="2"/>
  <c r="E792" i="2"/>
  <c r="H792" i="2" s="1"/>
  <c r="A793" i="2"/>
  <c r="B793" i="2"/>
  <c r="D793" i="2"/>
  <c r="E793" i="2"/>
  <c r="H793" i="2" s="1"/>
  <c r="A794" i="2"/>
  <c r="B794" i="2"/>
  <c r="D794" i="2"/>
  <c r="E794" i="2"/>
  <c r="H794" i="2" s="1"/>
  <c r="A795" i="2"/>
  <c r="B795" i="2"/>
  <c r="D795" i="2"/>
  <c r="E795" i="2"/>
  <c r="H795" i="2" s="1"/>
  <c r="A796" i="2"/>
  <c r="B796" i="2"/>
  <c r="D796" i="2"/>
  <c r="E796" i="2"/>
  <c r="H796" i="2" s="1"/>
  <c r="A797" i="2"/>
  <c r="B797" i="2"/>
  <c r="D797" i="2"/>
  <c r="E797" i="2"/>
  <c r="H797" i="2" s="1"/>
  <c r="A798" i="2"/>
  <c r="B798" i="2"/>
  <c r="D798" i="2"/>
  <c r="E798" i="2"/>
  <c r="H798" i="2" s="1"/>
  <c r="A799" i="2"/>
  <c r="B799" i="2"/>
  <c r="D799" i="2"/>
  <c r="E799" i="2"/>
  <c r="H799" i="2" s="1"/>
  <c r="A800" i="2"/>
  <c r="B800" i="2"/>
  <c r="D800" i="2"/>
  <c r="E800" i="2"/>
  <c r="H800" i="2" s="1"/>
  <c r="A801" i="2"/>
  <c r="B801" i="2"/>
  <c r="D801" i="2"/>
  <c r="E801" i="2"/>
  <c r="H801" i="2" s="1"/>
  <c r="A802" i="2"/>
  <c r="B802" i="2"/>
  <c r="D802" i="2"/>
  <c r="E802" i="2"/>
  <c r="H802" i="2" s="1"/>
  <c r="A803" i="2"/>
  <c r="B803" i="2"/>
  <c r="D803" i="2"/>
  <c r="E803" i="2"/>
  <c r="H803" i="2" s="1"/>
  <c r="A804" i="2"/>
  <c r="B804" i="2"/>
  <c r="D804" i="2"/>
  <c r="E804" i="2"/>
  <c r="H804" i="2" s="1"/>
  <c r="A805" i="2"/>
  <c r="B805" i="2"/>
  <c r="D805" i="2"/>
  <c r="E805" i="2"/>
  <c r="H805" i="2" s="1"/>
  <c r="A806" i="2"/>
  <c r="B806" i="2"/>
  <c r="D806" i="2"/>
  <c r="E806" i="2"/>
  <c r="H806" i="2" s="1"/>
  <c r="A807" i="2"/>
  <c r="B807" i="2"/>
  <c r="D807" i="2"/>
  <c r="E807" i="2"/>
  <c r="H807" i="2" s="1"/>
  <c r="A808" i="2"/>
  <c r="B808" i="2"/>
  <c r="D808" i="2"/>
  <c r="E808" i="2"/>
  <c r="H808" i="2" s="1"/>
  <c r="A809" i="2"/>
  <c r="B809" i="2"/>
  <c r="D809" i="2"/>
  <c r="E809" i="2"/>
  <c r="H809" i="2" s="1"/>
  <c r="A810" i="2"/>
  <c r="B810" i="2"/>
  <c r="D810" i="2"/>
  <c r="E810" i="2"/>
  <c r="H810" i="2" s="1"/>
  <c r="A811" i="2"/>
  <c r="B811" i="2"/>
  <c r="D811" i="2"/>
  <c r="E811" i="2"/>
  <c r="H811" i="2" s="1"/>
  <c r="A812" i="2"/>
  <c r="B812" i="2"/>
  <c r="D812" i="2"/>
  <c r="E812" i="2"/>
  <c r="H812" i="2" s="1"/>
  <c r="A813" i="2"/>
  <c r="B813" i="2"/>
  <c r="D813" i="2"/>
  <c r="E813" i="2"/>
  <c r="H813" i="2" s="1"/>
  <c r="A814" i="2"/>
  <c r="B814" i="2"/>
  <c r="D814" i="2"/>
  <c r="E814" i="2"/>
  <c r="H814" i="2" s="1"/>
  <c r="A815" i="2"/>
  <c r="B815" i="2"/>
  <c r="D815" i="2"/>
  <c r="E815" i="2"/>
  <c r="H815" i="2" s="1"/>
  <c r="A816" i="2"/>
  <c r="B816" i="2"/>
  <c r="D816" i="2"/>
  <c r="E816" i="2"/>
  <c r="H816" i="2" s="1"/>
  <c r="A817" i="2"/>
  <c r="B817" i="2"/>
  <c r="D817" i="2"/>
  <c r="E817" i="2"/>
  <c r="H817" i="2" s="1"/>
  <c r="A818" i="2"/>
  <c r="B818" i="2"/>
  <c r="D818" i="2"/>
  <c r="E818" i="2"/>
  <c r="H818" i="2" s="1"/>
  <c r="A819" i="2"/>
  <c r="B819" i="2"/>
  <c r="D819" i="2"/>
  <c r="E819" i="2"/>
  <c r="H819" i="2" s="1"/>
  <c r="A820" i="2"/>
  <c r="B820" i="2"/>
  <c r="D820" i="2"/>
  <c r="E820" i="2"/>
  <c r="H820" i="2" s="1"/>
  <c r="A821" i="2"/>
  <c r="B821" i="2"/>
  <c r="D821" i="2"/>
  <c r="E821" i="2"/>
  <c r="H821" i="2" s="1"/>
  <c r="A822" i="2"/>
  <c r="B822" i="2"/>
  <c r="D822" i="2"/>
  <c r="E822" i="2"/>
  <c r="H822" i="2" s="1"/>
  <c r="A823" i="2"/>
  <c r="B823" i="2"/>
  <c r="D823" i="2"/>
  <c r="E823" i="2"/>
  <c r="H823" i="2" s="1"/>
  <c r="A824" i="2"/>
  <c r="B824" i="2"/>
  <c r="D824" i="2"/>
  <c r="E824" i="2"/>
  <c r="H824" i="2" s="1"/>
  <c r="A825" i="2"/>
  <c r="B825" i="2"/>
  <c r="D825" i="2"/>
  <c r="E825" i="2"/>
  <c r="H825" i="2" s="1"/>
  <c r="A826" i="2"/>
  <c r="B826" i="2"/>
  <c r="D826" i="2"/>
  <c r="E826" i="2"/>
  <c r="H826" i="2" s="1"/>
  <c r="A827" i="2"/>
  <c r="B827" i="2"/>
  <c r="D827" i="2"/>
  <c r="E827" i="2"/>
  <c r="H827" i="2" s="1"/>
  <c r="A828" i="2"/>
  <c r="B828" i="2"/>
  <c r="D828" i="2"/>
  <c r="E828" i="2"/>
  <c r="H828" i="2" s="1"/>
  <c r="A829" i="2"/>
  <c r="B829" i="2"/>
  <c r="D829" i="2"/>
  <c r="E829" i="2"/>
  <c r="H829" i="2" s="1"/>
  <c r="A830" i="2"/>
  <c r="B830" i="2"/>
  <c r="D830" i="2"/>
  <c r="E830" i="2"/>
  <c r="H830" i="2" s="1"/>
  <c r="A831" i="2"/>
  <c r="B831" i="2"/>
  <c r="D831" i="2"/>
  <c r="E831" i="2"/>
  <c r="H831" i="2" s="1"/>
  <c r="A832" i="2"/>
  <c r="B832" i="2"/>
  <c r="D832" i="2"/>
  <c r="E832" i="2"/>
  <c r="H832" i="2" s="1"/>
  <c r="A833" i="2"/>
  <c r="B833" i="2"/>
  <c r="D833" i="2"/>
  <c r="E833" i="2"/>
  <c r="H833" i="2" s="1"/>
  <c r="A834" i="2"/>
  <c r="B834" i="2"/>
  <c r="D834" i="2"/>
  <c r="E834" i="2"/>
  <c r="H834" i="2" s="1"/>
  <c r="A835" i="2"/>
  <c r="B835" i="2"/>
  <c r="D835" i="2"/>
  <c r="E835" i="2"/>
  <c r="H835" i="2" s="1"/>
  <c r="A836" i="2"/>
  <c r="B836" i="2"/>
  <c r="D836" i="2"/>
  <c r="E836" i="2"/>
  <c r="H836" i="2" s="1"/>
  <c r="A837" i="2"/>
  <c r="B837" i="2"/>
  <c r="D837" i="2"/>
  <c r="E837" i="2"/>
  <c r="H837" i="2" s="1"/>
  <c r="A838" i="2"/>
  <c r="B838" i="2"/>
  <c r="D838" i="2"/>
  <c r="E838" i="2"/>
  <c r="H838" i="2" s="1"/>
  <c r="A839" i="2"/>
  <c r="B839" i="2"/>
  <c r="D839" i="2"/>
  <c r="E839" i="2"/>
  <c r="H839" i="2" s="1"/>
  <c r="A840" i="2"/>
  <c r="B840" i="2"/>
  <c r="D840" i="2"/>
  <c r="E840" i="2"/>
  <c r="H840" i="2" s="1"/>
  <c r="A841" i="2"/>
  <c r="B841" i="2"/>
  <c r="D841" i="2"/>
  <c r="E841" i="2"/>
  <c r="H841" i="2" s="1"/>
  <c r="A842" i="2"/>
  <c r="B842" i="2"/>
  <c r="D842" i="2"/>
  <c r="E842" i="2"/>
  <c r="H842" i="2" s="1"/>
  <c r="A843" i="2"/>
  <c r="B843" i="2"/>
  <c r="D843" i="2"/>
  <c r="E843" i="2"/>
  <c r="H843" i="2" s="1"/>
  <c r="A844" i="2"/>
  <c r="B844" i="2"/>
  <c r="D844" i="2"/>
  <c r="E844" i="2"/>
  <c r="H844" i="2" s="1"/>
  <c r="A845" i="2"/>
  <c r="B845" i="2"/>
  <c r="D845" i="2"/>
  <c r="E845" i="2"/>
  <c r="H845" i="2" s="1"/>
  <c r="A846" i="2"/>
  <c r="B846" i="2"/>
  <c r="D846" i="2"/>
  <c r="E846" i="2"/>
  <c r="H846" i="2" s="1"/>
  <c r="A847" i="2"/>
  <c r="B847" i="2"/>
  <c r="D847" i="2"/>
  <c r="E847" i="2"/>
  <c r="H847" i="2" s="1"/>
  <c r="A848" i="2"/>
  <c r="B848" i="2"/>
  <c r="D848" i="2"/>
  <c r="E848" i="2"/>
  <c r="H848" i="2" s="1"/>
  <c r="A849" i="2"/>
  <c r="B849" i="2"/>
  <c r="D849" i="2"/>
  <c r="E849" i="2"/>
  <c r="H849" i="2" s="1"/>
  <c r="A850" i="2"/>
  <c r="B850" i="2"/>
  <c r="D850" i="2"/>
  <c r="E850" i="2"/>
  <c r="H850" i="2" s="1"/>
  <c r="A851" i="2"/>
  <c r="B851" i="2"/>
  <c r="D851" i="2"/>
  <c r="E851" i="2"/>
  <c r="H851" i="2" s="1"/>
  <c r="A852" i="2"/>
  <c r="B852" i="2"/>
  <c r="D852" i="2"/>
  <c r="E852" i="2"/>
  <c r="H852" i="2" s="1"/>
  <c r="A853" i="2"/>
  <c r="B853" i="2"/>
  <c r="D853" i="2"/>
  <c r="E853" i="2"/>
  <c r="H853" i="2" s="1"/>
  <c r="A854" i="2"/>
  <c r="B854" i="2"/>
  <c r="D854" i="2"/>
  <c r="E854" i="2"/>
  <c r="H854" i="2" s="1"/>
  <c r="A855" i="2"/>
  <c r="B855" i="2"/>
  <c r="D855" i="2"/>
  <c r="E855" i="2"/>
  <c r="H855" i="2" s="1"/>
  <c r="A856" i="2"/>
  <c r="B856" i="2"/>
  <c r="D856" i="2"/>
  <c r="E856" i="2"/>
  <c r="H856" i="2" s="1"/>
  <c r="A857" i="2"/>
  <c r="B857" i="2"/>
  <c r="D857" i="2"/>
  <c r="E857" i="2"/>
  <c r="H857" i="2" s="1"/>
  <c r="A858" i="2"/>
  <c r="B858" i="2"/>
  <c r="D858" i="2"/>
  <c r="E858" i="2"/>
  <c r="H858" i="2" s="1"/>
  <c r="A859" i="2"/>
  <c r="B859" i="2"/>
  <c r="D859" i="2"/>
  <c r="E859" i="2"/>
  <c r="H859" i="2" s="1"/>
  <c r="A860" i="2"/>
  <c r="B860" i="2"/>
  <c r="D860" i="2"/>
  <c r="E860" i="2"/>
  <c r="H860" i="2" s="1"/>
  <c r="A861" i="2"/>
  <c r="B861" i="2"/>
  <c r="D861" i="2"/>
  <c r="E861" i="2"/>
  <c r="H861" i="2" s="1"/>
  <c r="A862" i="2"/>
  <c r="B862" i="2"/>
  <c r="D862" i="2"/>
  <c r="E862" i="2"/>
  <c r="H862" i="2" s="1"/>
  <c r="A863" i="2"/>
  <c r="B863" i="2"/>
  <c r="D863" i="2"/>
  <c r="E863" i="2"/>
  <c r="H863" i="2" s="1"/>
  <c r="A864" i="2"/>
  <c r="B864" i="2"/>
  <c r="D864" i="2"/>
  <c r="E864" i="2"/>
  <c r="H864" i="2" s="1"/>
  <c r="A865" i="2"/>
  <c r="B865" i="2"/>
  <c r="D865" i="2"/>
  <c r="E865" i="2"/>
  <c r="H865" i="2" s="1"/>
  <c r="A866" i="2"/>
  <c r="B866" i="2"/>
  <c r="D866" i="2"/>
  <c r="E866" i="2"/>
  <c r="H866" i="2" s="1"/>
  <c r="A867" i="2"/>
  <c r="B867" i="2"/>
  <c r="D867" i="2"/>
  <c r="E867" i="2"/>
  <c r="H867" i="2" s="1"/>
  <c r="A868" i="2"/>
  <c r="B868" i="2"/>
  <c r="D868" i="2"/>
  <c r="E868" i="2"/>
  <c r="H868" i="2" s="1"/>
  <c r="A869" i="2"/>
  <c r="B869" i="2"/>
  <c r="D869" i="2"/>
  <c r="E869" i="2"/>
  <c r="H869" i="2" s="1"/>
  <c r="A870" i="2"/>
  <c r="B870" i="2"/>
  <c r="D870" i="2"/>
  <c r="E870" i="2"/>
  <c r="H870" i="2" s="1"/>
  <c r="A871" i="2"/>
  <c r="B871" i="2"/>
  <c r="D871" i="2"/>
  <c r="E871" i="2"/>
  <c r="H871" i="2" s="1"/>
  <c r="A872" i="2"/>
  <c r="B872" i="2"/>
  <c r="D872" i="2"/>
  <c r="E872" i="2"/>
  <c r="H872" i="2" s="1"/>
  <c r="A873" i="2"/>
  <c r="B873" i="2"/>
  <c r="D873" i="2"/>
  <c r="E873" i="2"/>
  <c r="H873" i="2" s="1"/>
  <c r="A874" i="2"/>
  <c r="B874" i="2"/>
  <c r="D874" i="2"/>
  <c r="E874" i="2"/>
  <c r="H874" i="2" s="1"/>
  <c r="A875" i="2"/>
  <c r="B875" i="2"/>
  <c r="D875" i="2"/>
  <c r="E875" i="2"/>
  <c r="H875" i="2" s="1"/>
  <c r="A876" i="2"/>
  <c r="B876" i="2"/>
  <c r="D876" i="2"/>
  <c r="E876" i="2"/>
  <c r="H876" i="2" s="1"/>
  <c r="A877" i="2"/>
  <c r="B877" i="2"/>
  <c r="D877" i="2"/>
  <c r="E877" i="2"/>
  <c r="H877" i="2" s="1"/>
  <c r="A878" i="2"/>
  <c r="B878" i="2"/>
  <c r="D878" i="2"/>
  <c r="E878" i="2"/>
  <c r="H878" i="2" s="1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2" i="4"/>
  <c r="E2" i="1"/>
  <c r="A2" i="1"/>
  <c r="B2" i="1"/>
  <c r="D2" i="1"/>
  <c r="H2" i="1" s="1"/>
  <c r="A3" i="1"/>
  <c r="B3" i="1"/>
  <c r="D3" i="1"/>
  <c r="E3" i="1"/>
  <c r="H3" i="1" s="1"/>
  <c r="A4" i="1"/>
  <c r="B4" i="1"/>
  <c r="D4" i="1"/>
  <c r="E4" i="1"/>
  <c r="H4" i="1" s="1"/>
  <c r="A5" i="1"/>
  <c r="B5" i="1"/>
  <c r="D5" i="1"/>
  <c r="E5" i="1"/>
  <c r="H5" i="1" s="1"/>
  <c r="A6" i="1"/>
  <c r="B6" i="1"/>
  <c r="D6" i="1"/>
  <c r="E6" i="1"/>
  <c r="H6" i="1" s="1"/>
  <c r="A7" i="1"/>
  <c r="B7" i="1"/>
  <c r="D7" i="1"/>
  <c r="E7" i="1"/>
  <c r="H7" i="1" s="1"/>
  <c r="A8" i="1"/>
  <c r="B8" i="1"/>
  <c r="D8" i="1"/>
  <c r="E8" i="1"/>
  <c r="H8" i="1" s="1"/>
  <c r="A9" i="1"/>
  <c r="B9" i="1"/>
  <c r="D9" i="1"/>
  <c r="E9" i="1"/>
  <c r="H9" i="1" s="1"/>
  <c r="A10" i="1"/>
  <c r="B10" i="1"/>
  <c r="D10" i="1"/>
  <c r="E10" i="1"/>
  <c r="H10" i="1" s="1"/>
  <c r="A11" i="1"/>
  <c r="B11" i="1"/>
  <c r="D11" i="1"/>
  <c r="E11" i="1"/>
  <c r="H11" i="1" s="1"/>
  <c r="A12" i="1"/>
  <c r="B12" i="1"/>
  <c r="D12" i="1"/>
  <c r="E12" i="1"/>
  <c r="H12" i="1" s="1"/>
  <c r="A13" i="1"/>
  <c r="B13" i="1"/>
  <c r="D13" i="1"/>
  <c r="E13" i="1"/>
  <c r="H13" i="1" s="1"/>
  <c r="A14" i="1"/>
  <c r="B14" i="1"/>
  <c r="D14" i="1"/>
  <c r="E14" i="1"/>
  <c r="H14" i="1" s="1"/>
  <c r="A15" i="1"/>
  <c r="B15" i="1"/>
  <c r="D15" i="1"/>
  <c r="E15" i="1"/>
  <c r="H15" i="1" s="1"/>
  <c r="A16" i="1"/>
  <c r="B16" i="1"/>
  <c r="D16" i="1"/>
  <c r="E16" i="1"/>
  <c r="H16" i="1" s="1"/>
  <c r="A17" i="1"/>
  <c r="B17" i="1"/>
  <c r="D17" i="1"/>
  <c r="E17" i="1"/>
  <c r="H17" i="1" s="1"/>
  <c r="A18" i="1"/>
  <c r="B18" i="1"/>
  <c r="D18" i="1"/>
  <c r="E18" i="1"/>
  <c r="H18" i="1" s="1"/>
  <c r="A19" i="1"/>
  <c r="B19" i="1"/>
  <c r="D19" i="1"/>
  <c r="E19" i="1"/>
  <c r="H19" i="1" s="1"/>
</calcChain>
</file>

<file path=xl/sharedStrings.xml><?xml version="1.0" encoding="utf-8"?>
<sst xmlns="http://schemas.openxmlformats.org/spreadsheetml/2006/main" count="1017" uniqueCount="19">
  <si>
    <t>obs_wl_vac(nm)</t>
  </si>
  <si>
    <t>Aki(s^-1)</t>
  </si>
  <si>
    <t>Acc</t>
  </si>
  <si>
    <t>Ei(eV)</t>
  </si>
  <si>
    <t>Ek(eV)</t>
  </si>
  <si>
    <t>C</t>
  </si>
  <si>
    <t>C+</t>
  </si>
  <si>
    <t>g_i</t>
  </si>
  <si>
    <t>g_k</t>
  </si>
  <si>
    <t>obs_wl_air(nm)</t>
  </si>
  <si>
    <t>E</t>
  </si>
  <si>
    <t>A</t>
  </si>
  <si>
    <t>D</t>
  </si>
  <si>
    <t>B</t>
  </si>
  <si>
    <t>B+</t>
  </si>
  <si>
    <t>D+</t>
  </si>
  <si>
    <t>光速</t>
    <rPh sb="0" eb="2">
      <t>コウソク</t>
    </rPh>
    <phoneticPr fontId="1"/>
  </si>
  <si>
    <t>プランク定数</t>
    <phoneticPr fontId="1"/>
  </si>
  <si>
    <t>素電荷</t>
    <rPh sb="0" eb="1">
      <t>ソデ</t>
    </rPh>
    <rPh sb="1" eb="3">
      <t xml:space="preserve">デンカ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</si>
</sst>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.E+00"/>
    <numFmt numFmtId="165" formatCode="0.000"/>
  </numFmts>
  <fonts count="3" x14ac:knownFonts="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2"/>
      <color theme="1"/>
      <name val="Osaka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64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65" fontId="2" fillId="0" borderId="0" xfId="0" applyNumberFormat="1" applyFont="1">
      <alignment vertical="center"/>
    </xf>
    <xf numFmtId="2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535D-FDCE-8944-983E-4C68E50D2784}">
  <dimension ref="A1:J19"/>
  <sheetViews>
    <sheetView tabSelected="1" zoomScale="150" zoomScaleNormal="150" workbookViewId="0">
      <selection activeCell="A10" sqref="A10"/>
    </sheetView>
  </sheetViews>
  <sheetFormatPr baseColWidth="10" defaultColWidth="10.6640625" defaultRowHeight="18" x14ac:dyDescent="0.2"/>
  <cols>
    <col min="1" max="1" width="17.5" style="1" bestFit="1" customWidth="1"/>
    <col min="2" max="2" width="11.6640625" style="2" bestFit="1" customWidth="1"/>
    <col min="3" max="3" width="5" style="1" bestFit="1" customWidth="1"/>
    <col min="4" max="4" width="7.1640625" style="1" bestFit="1" customWidth="1"/>
    <col min="5" max="5" width="7.6640625" style="1" bestFit="1" customWidth="1"/>
    <col min="6" max="6" width="4.1640625" style="1" bestFit="1" customWidth="1"/>
    <col min="7" max="7" width="4.6640625" style="1" bestFit="1" customWidth="1"/>
    <col min="8" max="8" width="8.5" style="1" bestFit="1" customWidth="1"/>
    <col min="9" max="9" width="12.1640625" style="1" bestFit="1" customWidth="1"/>
    <col min="10" max="10" width="11" style="1" bestFit="1" customWidth="1"/>
    <col min="11" max="16384" width="10.6640625" style="1"/>
  </cols>
  <sheetData>
    <row r="1" spans="1:10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I1" s="1" t="s">
        <v>16</v>
      </c>
      <c r="J1" s="3">
        <v>299790000</v>
      </c>
    </row>
    <row r="2" spans="1:10" x14ac:dyDescent="0.2">
      <c r="A2" s="5">
        <f>402.3766</f>
        <v>402.3766</v>
      </c>
      <c r="B2" s="2">
        <f>19000000</f>
        <v>19000000</v>
      </c>
      <c r="C2" s="1" t="s">
        <v>5</v>
      </c>
      <c r="D2" s="5">
        <f>3.7858977</f>
        <v>3.7858977</v>
      </c>
      <c r="E2" s="5">
        <f>6.8671955</f>
        <v>6.8671955000000002</v>
      </c>
      <c r="F2" s="1">
        <v>2</v>
      </c>
      <c r="G2" s="1">
        <v>4</v>
      </c>
      <c r="H2" s="5">
        <f>$J$2*$J$1/((E2-D2)*$J$3)*1000000000</f>
        <v>402.04896270320342</v>
      </c>
      <c r="I2" s="1" t="s">
        <v>17</v>
      </c>
      <c r="J2" s="3">
        <v>6.6200000000000001E-34</v>
      </c>
    </row>
    <row r="3" spans="1:10" x14ac:dyDescent="0.2">
      <c r="A3" s="5">
        <f>406.3788</f>
        <v>406.37880000000001</v>
      </c>
      <c r="B3" s="2">
        <f>21000000</f>
        <v>21000000</v>
      </c>
      <c r="C3" s="1" t="s">
        <v>5</v>
      </c>
      <c r="D3" s="5">
        <f>3.816692</f>
        <v>3.8166920000000002</v>
      </c>
      <c r="E3" s="5">
        <f>6.8676456</f>
        <v>6.8676456000000003</v>
      </c>
      <c r="F3" s="1">
        <v>4</v>
      </c>
      <c r="G3" s="1">
        <v>6</v>
      </c>
      <c r="H3" s="5">
        <f t="shared" ref="H3:H19" si="0">$J$2*$J$1/((E3-D3)*$J$3)*1000000000</f>
        <v>406.04766466119406</v>
      </c>
      <c r="I3" s="1" t="s">
        <v>18</v>
      </c>
      <c r="J3" s="3">
        <v>1.602E-19</v>
      </c>
    </row>
    <row r="4" spans="1:10" x14ac:dyDescent="0.2">
      <c r="A4" s="5">
        <f>425.0152</f>
        <v>425.01519999999999</v>
      </c>
      <c r="B4" s="2">
        <f>19500000</f>
        <v>19500000</v>
      </c>
      <c r="C4" s="1" t="s">
        <v>6</v>
      </c>
      <c r="D4" s="5">
        <f>5.076382</f>
        <v>5.0763819999999997</v>
      </c>
      <c r="E4" s="5">
        <f>7.993553</f>
        <v>7.9935530000000004</v>
      </c>
      <c r="F4" s="1">
        <v>2</v>
      </c>
      <c r="G4" s="1">
        <v>2</v>
      </c>
      <c r="H4" s="5">
        <f t="shared" si="0"/>
        <v>424.66916895501248</v>
      </c>
    </row>
    <row r="5" spans="1:10" x14ac:dyDescent="0.2">
      <c r="A5" s="5">
        <f>427.631</f>
        <v>427.63099999999997</v>
      </c>
      <c r="B5" s="2">
        <f>34500000</f>
        <v>34500000</v>
      </c>
      <c r="C5" s="1" t="s">
        <v>6</v>
      </c>
      <c r="D5" s="5">
        <f>4.837701</f>
        <v>4.837701</v>
      </c>
      <c r="E5" s="5">
        <f>7.737027</f>
        <v>7.7370270000000003</v>
      </c>
      <c r="F5" s="1">
        <v>6</v>
      </c>
      <c r="G5" s="1">
        <v>8</v>
      </c>
      <c r="H5" s="5">
        <f t="shared" si="0"/>
        <v>427.28295620073868</v>
      </c>
    </row>
    <row r="6" spans="1:10" x14ac:dyDescent="0.2">
      <c r="A6" s="5">
        <f>448.1607</f>
        <v>448.16070000000002</v>
      </c>
      <c r="B6" s="2">
        <f>3000000</f>
        <v>3000000</v>
      </c>
      <c r="C6" s="1" t="s">
        <v>5</v>
      </c>
      <c r="D6" s="5">
        <f>3.7858977</f>
        <v>3.7858977</v>
      </c>
      <c r="E6" s="5">
        <f>6.55241</f>
        <v>6.5524100000000001</v>
      </c>
      <c r="F6" s="1">
        <v>2</v>
      </c>
      <c r="G6" s="1">
        <v>2</v>
      </c>
      <c r="H6" s="5">
        <f t="shared" si="0"/>
        <v>447.79579843894527</v>
      </c>
    </row>
    <row r="7" spans="1:10" x14ac:dyDescent="0.2">
      <c r="A7" s="5">
        <f>451.0639</f>
        <v>451.06389999999999</v>
      </c>
      <c r="B7" s="2">
        <f>27500000</f>
        <v>27500000</v>
      </c>
      <c r="C7" s="1" t="s">
        <v>6</v>
      </c>
      <c r="D7" s="5">
        <f>5.244851</f>
        <v>5.2448509999999997</v>
      </c>
      <c r="E7" s="5">
        <f>7.993553</f>
        <v>7.9935530000000004</v>
      </c>
      <c r="F7" s="1">
        <v>4</v>
      </c>
      <c r="G7" s="1">
        <v>2</v>
      </c>
      <c r="H7" s="5">
        <f t="shared" si="0"/>
        <v>450.69730522612588</v>
      </c>
    </row>
    <row r="8" spans="1:10" x14ac:dyDescent="0.2">
      <c r="A8" s="5">
        <f>453.2055</f>
        <v>453.20549999999997</v>
      </c>
      <c r="B8" s="2">
        <f>8400000</f>
        <v>8400000</v>
      </c>
      <c r="C8" s="1" t="s">
        <v>6</v>
      </c>
      <c r="D8" s="5">
        <f>3.816692</f>
        <v>3.8166920000000002</v>
      </c>
      <c r="E8" s="5">
        <f>6.55241</f>
        <v>6.5524100000000001</v>
      </c>
      <c r="F8" s="1">
        <v>4</v>
      </c>
      <c r="G8" s="1">
        <v>2</v>
      </c>
      <c r="H8" s="5">
        <f t="shared" si="0"/>
        <v>452.8363611562533</v>
      </c>
    </row>
    <row r="9" spans="1:10" x14ac:dyDescent="0.2">
      <c r="A9" s="5">
        <f>454.0968</f>
        <v>454.09679999999997</v>
      </c>
      <c r="B9" s="2">
        <f>21200000</f>
        <v>21200000</v>
      </c>
      <c r="C9" s="1" t="s">
        <v>6</v>
      </c>
      <c r="D9" s="5">
        <f>5.153147</f>
        <v>5.1531469999999997</v>
      </c>
      <c r="E9" s="5">
        <f>7.883492</f>
        <v>7.8834920000000004</v>
      </c>
      <c r="F9" s="1">
        <v>6</v>
      </c>
      <c r="G9" s="1">
        <v>4</v>
      </c>
      <c r="H9" s="5">
        <f t="shared" si="0"/>
        <v>453.72749021448305</v>
      </c>
    </row>
    <row r="10" spans="1:10" x14ac:dyDescent="0.2">
      <c r="A10" s="5">
        <f>458.826</f>
        <v>458.82600000000002</v>
      </c>
      <c r="B10" s="2">
        <f>32000000</f>
        <v>32000000</v>
      </c>
      <c r="C10" s="1" t="s">
        <v>6</v>
      </c>
      <c r="D10" s="5">
        <f>5.10238</f>
        <v>5.1023800000000001</v>
      </c>
      <c r="E10" s="5">
        <f>7.80459</f>
        <v>7.8045900000000001</v>
      </c>
      <c r="F10" s="1">
        <v>8</v>
      </c>
      <c r="G10" s="1">
        <v>6</v>
      </c>
      <c r="H10" s="5">
        <f t="shared" si="0"/>
        <v>458.45163191227289</v>
      </c>
    </row>
    <row r="11" spans="1:10" x14ac:dyDescent="0.2">
      <c r="A11" s="5">
        <f>465.2426</f>
        <v>465.24259999999998</v>
      </c>
      <c r="B11" s="2">
        <f>38000000</f>
        <v>38000000</v>
      </c>
      <c r="C11" s="1" t="s">
        <v>6</v>
      </c>
      <c r="D11" s="5">
        <f>5.072089</f>
        <v>5.0720890000000001</v>
      </c>
      <c r="E11" s="5">
        <f>7.737027</f>
        <v>7.7370270000000003</v>
      </c>
      <c r="F11" s="1">
        <v>10</v>
      </c>
      <c r="G11" s="1">
        <v>8</v>
      </c>
      <c r="H11" s="5">
        <f t="shared" si="0"/>
        <v>464.86356690837192</v>
      </c>
    </row>
    <row r="12" spans="1:10" x14ac:dyDescent="0.2">
      <c r="A12" s="5">
        <f>470.591</f>
        <v>470.59100000000001</v>
      </c>
      <c r="B12" s="2">
        <f>5500000</f>
        <v>5500000</v>
      </c>
      <c r="C12" s="1" t="s">
        <v>6</v>
      </c>
      <c r="D12" s="5">
        <f>5.10238</f>
        <v>5.1023800000000001</v>
      </c>
      <c r="E12" s="5">
        <f>7.737027</f>
        <v>7.7370270000000003</v>
      </c>
      <c r="F12" s="1">
        <v>8</v>
      </c>
      <c r="G12" s="1">
        <v>8</v>
      </c>
      <c r="H12" s="5">
        <f t="shared" si="0"/>
        <v>470.20818510778213</v>
      </c>
    </row>
    <row r="13" spans="1:10" x14ac:dyDescent="0.2">
      <c r="A13" s="5">
        <f>510.6964</f>
        <v>510.69639999999998</v>
      </c>
      <c r="B13" s="2">
        <f>2000000</f>
        <v>2000000</v>
      </c>
      <c r="C13" s="1" t="s">
        <v>6</v>
      </c>
      <c r="D13" s="5">
        <f>1.388948</f>
        <v>1.3889480000000001</v>
      </c>
      <c r="E13" s="5">
        <f>3.816692</f>
        <v>3.8166920000000002</v>
      </c>
      <c r="F13" s="1">
        <v>6</v>
      </c>
      <c r="G13" s="1">
        <v>4</v>
      </c>
      <c r="H13" s="5">
        <f t="shared" si="0"/>
        <v>510.28139057069558</v>
      </c>
    </row>
    <row r="14" spans="1:10" x14ac:dyDescent="0.2">
      <c r="A14" s="5">
        <f>515.4671</f>
        <v>515.46709999999996</v>
      </c>
      <c r="B14" s="2">
        <f>60000000</f>
        <v>60000000</v>
      </c>
      <c r="C14" s="1" t="s">
        <v>6</v>
      </c>
      <c r="D14" s="5">
        <f>3.7858977</f>
        <v>3.7858977</v>
      </c>
      <c r="E14" s="5">
        <f>6.1911751</f>
        <v>6.1911750999999997</v>
      </c>
      <c r="F14" s="1">
        <v>2</v>
      </c>
      <c r="G14" s="1">
        <v>4</v>
      </c>
      <c r="H14" s="5">
        <f t="shared" si="0"/>
        <v>515.04769648177091</v>
      </c>
    </row>
    <row r="15" spans="1:10" x14ac:dyDescent="0.2">
      <c r="A15" s="5">
        <f>521.9655</f>
        <v>521.96550000000002</v>
      </c>
      <c r="B15" s="2">
        <f>75000000</f>
        <v>75000000</v>
      </c>
      <c r="C15" s="1" t="s">
        <v>6</v>
      </c>
      <c r="D15" s="5">
        <f>3.816692</f>
        <v>3.8166920000000002</v>
      </c>
      <c r="E15" s="5">
        <f>6.1920252</f>
        <v>6.1920251999999998</v>
      </c>
      <c r="F15" s="1">
        <v>4</v>
      </c>
      <c r="G15" s="1">
        <v>6</v>
      </c>
      <c r="H15" s="5">
        <f t="shared" si="0"/>
        <v>521.54055029823326</v>
      </c>
    </row>
    <row r="16" spans="1:10" x14ac:dyDescent="0.2">
      <c r="A16" s="5">
        <f>522.1523</f>
        <v>522.15229999999997</v>
      </c>
      <c r="B16" s="2">
        <f>15000000</f>
        <v>15000000</v>
      </c>
      <c r="C16" s="1" t="s">
        <v>6</v>
      </c>
      <c r="D16" s="5">
        <f>3.816692</f>
        <v>3.8166920000000002</v>
      </c>
      <c r="E16" s="5">
        <f>6.1911751</f>
        <v>6.1911750999999997</v>
      </c>
      <c r="F16" s="1">
        <v>4</v>
      </c>
      <c r="G16" s="1">
        <v>4</v>
      </c>
      <c r="H16" s="5">
        <f t="shared" si="0"/>
        <v>521.72726951379991</v>
      </c>
    </row>
    <row r="17" spans="1:8" x14ac:dyDescent="0.2">
      <c r="A17" s="5">
        <f>529.399</f>
        <v>529.399</v>
      </c>
      <c r="B17" s="2">
        <f>10900000</f>
        <v>10900000</v>
      </c>
      <c r="C17" s="1" t="s">
        <v>6</v>
      </c>
      <c r="D17" s="5">
        <f>5.39505</f>
        <v>5.3950500000000003</v>
      </c>
      <c r="E17" s="5">
        <f>7.737027</f>
        <v>7.7370270000000003</v>
      </c>
      <c r="F17" s="1">
        <v>8</v>
      </c>
      <c r="G17" s="1">
        <v>8</v>
      </c>
      <c r="H17" s="5">
        <f t="shared" si="0"/>
        <v>528.96872354837944</v>
      </c>
    </row>
    <row r="18" spans="1:8" x14ac:dyDescent="0.2">
      <c r="A18" s="5">
        <f>570.1822</f>
        <v>570.18219999999997</v>
      </c>
      <c r="B18" s="2">
        <f>240000</f>
        <v>240000</v>
      </c>
      <c r="C18" s="1" t="s">
        <v>6</v>
      </c>
      <c r="D18" s="5">
        <f>1.6422256</f>
        <v>1.6422256</v>
      </c>
      <c r="E18" s="5">
        <f>3.816692</f>
        <v>3.8166920000000002</v>
      </c>
      <c r="F18" s="1">
        <v>4</v>
      </c>
      <c r="G18" s="1">
        <v>4</v>
      </c>
      <c r="H18" s="5">
        <f t="shared" si="0"/>
        <v>569.71797047296889</v>
      </c>
    </row>
    <row r="19" spans="1:8" x14ac:dyDescent="0.2">
      <c r="A19" s="5">
        <f>578.3735</f>
        <v>578.37350000000004</v>
      </c>
      <c r="B19" s="2">
        <f>1650000</f>
        <v>1650000</v>
      </c>
      <c r="C19" s="1" t="s">
        <v>6</v>
      </c>
      <c r="D19" s="5">
        <f>1.6422256</f>
        <v>1.6422256</v>
      </c>
      <c r="E19" s="5">
        <f>3.7858977</f>
        <v>3.7858977</v>
      </c>
      <c r="F19" s="1">
        <v>4</v>
      </c>
      <c r="G19" s="1">
        <v>2</v>
      </c>
      <c r="H19" s="5">
        <f t="shared" si="0"/>
        <v>577.90208878944827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E443-1316-C74D-829C-48BFAF0B8EF8}">
  <dimension ref="A1:J878"/>
  <sheetViews>
    <sheetView workbookViewId="0">
      <selection activeCell="I20" sqref="I20"/>
    </sheetView>
  </sheetViews>
  <sheetFormatPr baseColWidth="10" defaultColWidth="10.6640625" defaultRowHeight="18" x14ac:dyDescent="0.2"/>
  <cols>
    <col min="1" max="1" width="16.5" style="1" customWidth="1"/>
    <col min="2" max="2" width="10.6640625" style="1"/>
    <col min="3" max="3" width="5" style="1" bestFit="1" customWidth="1"/>
    <col min="4" max="4" width="6.83203125" style="1" bestFit="1" customWidth="1"/>
    <col min="5" max="5" width="7.33203125" style="1" bestFit="1" customWidth="1"/>
    <col min="6" max="6" width="4.33203125" style="1" bestFit="1" customWidth="1"/>
    <col min="7" max="7" width="4.6640625" style="1" bestFit="1" customWidth="1"/>
    <col min="8" max="16384" width="10.6640625" style="1"/>
  </cols>
  <sheetData>
    <row r="1" spans="1:10" x14ac:dyDescent="0.2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I1" s="1" t="s">
        <v>16</v>
      </c>
      <c r="J1" s="3">
        <v>299790000</v>
      </c>
    </row>
    <row r="2" spans="1:10" x14ac:dyDescent="0.2">
      <c r="A2" s="5">
        <f>400.0252</f>
        <v>400.02519999999998</v>
      </c>
      <c r="B2" s="3">
        <f>2200000</f>
        <v>2200000</v>
      </c>
      <c r="C2" s="1" t="s">
        <v>10</v>
      </c>
      <c r="D2" s="5">
        <f>3.2657061</f>
        <v>3.2657061000000001</v>
      </c>
      <c r="E2" s="5">
        <f>6.36423934</f>
        <v>6.3642393400000001</v>
      </c>
      <c r="F2" s="1">
        <v>5</v>
      </c>
      <c r="G2" s="1">
        <v>5</v>
      </c>
      <c r="H2" s="5">
        <f>$J$2*$J$1/((E2-D2)*$J$3)*1000000000</f>
        <v>399.8125849602514</v>
      </c>
      <c r="I2" s="1" t="s">
        <v>17</v>
      </c>
      <c r="J2" s="3">
        <v>6.6200000000000001E-34</v>
      </c>
    </row>
    <row r="3" spans="1:10" x14ac:dyDescent="0.2">
      <c r="A3" s="5">
        <f>400.0457</f>
        <v>400.04570000000001</v>
      </c>
      <c r="B3" s="3">
        <f>1010000</f>
        <v>1010000</v>
      </c>
      <c r="C3" s="1" t="s">
        <v>6</v>
      </c>
      <c r="D3" s="5">
        <f>2.99035244</f>
        <v>2.9903524400000001</v>
      </c>
      <c r="E3" s="5">
        <f>6.08872711</f>
        <v>6.0887271099999998</v>
      </c>
      <c r="F3" s="1">
        <v>9</v>
      </c>
      <c r="G3" s="1">
        <v>9</v>
      </c>
      <c r="H3" s="5">
        <f t="shared" ref="H3:H66" si="0">$J$2*$J$1/((E3-D3)*$J$3)*1000000000</f>
        <v>399.83304674694585</v>
      </c>
      <c r="I3" s="1" t="s">
        <v>18</v>
      </c>
      <c r="J3" s="3">
        <v>1.602E-19</v>
      </c>
    </row>
    <row r="4" spans="1:10" x14ac:dyDescent="0.2">
      <c r="A4" s="5">
        <f>400.16615</f>
        <v>400.16615000000002</v>
      </c>
      <c r="B4" s="3">
        <f>747000</f>
        <v>747000</v>
      </c>
      <c r="C4" s="1" t="s">
        <v>6</v>
      </c>
      <c r="D4" s="5">
        <f>2.17594512</f>
        <v>2.1759451200000002</v>
      </c>
      <c r="E4" s="5">
        <f>5.2733878</f>
        <v>5.2733878000000001</v>
      </c>
      <c r="F4" s="1">
        <v>7</v>
      </c>
      <c r="G4" s="1">
        <v>7</v>
      </c>
      <c r="H4" s="5">
        <f t="shared" si="0"/>
        <v>399.95335257331158</v>
      </c>
    </row>
    <row r="5" spans="1:10" x14ac:dyDescent="0.2">
      <c r="A5" s="5">
        <f>400.37616</f>
        <v>400.37616000000003</v>
      </c>
      <c r="B5" s="3">
        <f>6760000</f>
        <v>6760000</v>
      </c>
      <c r="C5" s="1" t="s">
        <v>5</v>
      </c>
      <c r="D5" s="5">
        <f>3.41489715</f>
        <v>3.4148971499999998</v>
      </c>
      <c r="E5" s="5">
        <f>6.51071489</f>
        <v>6.51071489</v>
      </c>
      <c r="F5" s="1">
        <v>3</v>
      </c>
      <c r="G5" s="1">
        <v>3</v>
      </c>
      <c r="H5" s="5">
        <f t="shared" si="0"/>
        <v>400.16328101720325</v>
      </c>
    </row>
    <row r="6" spans="1:10" x14ac:dyDescent="0.2">
      <c r="A6" s="5">
        <f>400.52417</f>
        <v>400.52417000000003</v>
      </c>
      <c r="B6" s="3">
        <f>20400000</f>
        <v>20400000</v>
      </c>
      <c r="C6" s="1" t="s">
        <v>11</v>
      </c>
      <c r="D6" s="5">
        <f>1.55735733</f>
        <v>1.5573573300000001</v>
      </c>
      <c r="E6" s="5">
        <f>4.65203107</f>
        <v>4.6520310699999996</v>
      </c>
      <c r="F6" s="1">
        <v>7</v>
      </c>
      <c r="G6" s="1">
        <v>5</v>
      </c>
      <c r="H6" s="5">
        <f t="shared" si="0"/>
        <v>400.31120833747832</v>
      </c>
    </row>
    <row r="7" spans="1:10" x14ac:dyDescent="0.2">
      <c r="A7" s="5">
        <f>400.63105</f>
        <v>400.63105000000002</v>
      </c>
      <c r="B7" s="3">
        <f>5100000</f>
        <v>5100000</v>
      </c>
      <c r="C7" s="1" t="s">
        <v>12</v>
      </c>
      <c r="D7" s="5">
        <f>3.26711257</f>
        <v>3.2671125700000001</v>
      </c>
      <c r="E7" s="5">
        <f>6.3609602</f>
        <v>6.3609602000000001</v>
      </c>
      <c r="F7" s="1">
        <v>11</v>
      </c>
      <c r="G7" s="1">
        <v>9</v>
      </c>
      <c r="H7" s="5">
        <f t="shared" si="0"/>
        <v>400.41809824670094</v>
      </c>
    </row>
    <row r="8" spans="1:10" x14ac:dyDescent="0.2">
      <c r="A8" s="5">
        <f>400.6624</f>
        <v>400.66239999999999</v>
      </c>
      <c r="B8" s="3">
        <f>5890000</f>
        <v>5890000</v>
      </c>
      <c r="C8" s="1" t="s">
        <v>13</v>
      </c>
      <c r="D8" s="5">
        <f>3.11096179</f>
        <v>3.1109617900000002</v>
      </c>
      <c r="E8" s="5">
        <f>6.20456765</f>
        <v>6.2045676500000004</v>
      </c>
      <c r="F8" s="1">
        <v>1</v>
      </c>
      <c r="G8" s="1">
        <v>3</v>
      </c>
      <c r="H8" s="5">
        <f t="shared" si="0"/>
        <v>400.4493915296834</v>
      </c>
    </row>
    <row r="9" spans="1:10" x14ac:dyDescent="0.2">
      <c r="A9" s="5">
        <f>400.72718</f>
        <v>400.72717999999998</v>
      </c>
      <c r="B9" s="3">
        <f>4400000</f>
        <v>4400000</v>
      </c>
      <c r="C9" s="1" t="s">
        <v>13</v>
      </c>
      <c r="D9" s="5">
        <f>2.75857762</f>
        <v>2.7585776200000001</v>
      </c>
      <c r="E9" s="5">
        <f>5.85168345</f>
        <v>5.8516834500000003</v>
      </c>
      <c r="F9" s="1">
        <v>7</v>
      </c>
      <c r="G9" s="1">
        <v>5</v>
      </c>
      <c r="H9" s="5">
        <f t="shared" si="0"/>
        <v>400.51412798561205</v>
      </c>
    </row>
    <row r="10" spans="1:10" x14ac:dyDescent="0.2">
      <c r="A10" s="5">
        <f>400.97125</f>
        <v>400.97125</v>
      </c>
      <c r="B10" s="3">
        <f>4640000</f>
        <v>4640000</v>
      </c>
      <c r="C10" s="1" t="s">
        <v>13</v>
      </c>
      <c r="D10" s="5">
        <f>2.22271209</f>
        <v>2.2227120899999999</v>
      </c>
      <c r="E10" s="5">
        <f>5.31393522</f>
        <v>5.3139352200000003</v>
      </c>
      <c r="F10" s="1">
        <v>3</v>
      </c>
      <c r="G10" s="1">
        <v>5</v>
      </c>
      <c r="H10" s="5">
        <f t="shared" si="0"/>
        <v>400.75805989121949</v>
      </c>
    </row>
    <row r="11" spans="1:10" x14ac:dyDescent="0.2">
      <c r="A11" s="5">
        <f>401.01761</f>
        <v>401.01760999999999</v>
      </c>
      <c r="B11" s="3">
        <f>790000</f>
        <v>790000</v>
      </c>
      <c r="C11" s="1" t="s">
        <v>10</v>
      </c>
      <c r="D11" s="5">
        <f>3.64164057</f>
        <v>3.6416405699999999</v>
      </c>
      <c r="E11" s="5">
        <f>6.73250811</f>
        <v>6.7325081100000004</v>
      </c>
      <c r="F11" s="1">
        <v>7</v>
      </c>
      <c r="G11" s="1">
        <v>9</v>
      </c>
      <c r="H11" s="5">
        <f t="shared" si="0"/>
        <v>400.80416525053118</v>
      </c>
    </row>
    <row r="12" spans="1:10" x14ac:dyDescent="0.2">
      <c r="A12" s="5">
        <f>401.14072</f>
        <v>401.14071999999999</v>
      </c>
      <c r="B12" s="3">
        <f>226000</f>
        <v>226000</v>
      </c>
      <c r="C12" s="1" t="s">
        <v>13</v>
      </c>
      <c r="D12" s="5">
        <f>2.55917148</f>
        <v>2.5591714799999998</v>
      </c>
      <c r="E12" s="5">
        <f>5.64908881</f>
        <v>5.6490888100000003</v>
      </c>
      <c r="F12" s="1">
        <v>9</v>
      </c>
      <c r="G12" s="1">
        <v>7</v>
      </c>
      <c r="H12" s="5">
        <f t="shared" si="0"/>
        <v>400.92742036877178</v>
      </c>
    </row>
    <row r="13" spans="1:10" x14ac:dyDescent="0.2">
      <c r="A13" s="5">
        <f>401.1711</f>
        <v>401.17110000000002</v>
      </c>
      <c r="B13" s="3">
        <f>110000</f>
        <v>110000</v>
      </c>
      <c r="C13" s="1" t="s">
        <v>12</v>
      </c>
      <c r="D13" s="5">
        <f>2.44955978</f>
        <v>2.44955978</v>
      </c>
      <c r="E13" s="5">
        <f>5.53924278</f>
        <v>5.5392427800000004</v>
      </c>
      <c r="F13" s="1">
        <v>7</v>
      </c>
      <c r="G13" s="1">
        <v>9</v>
      </c>
      <c r="H13" s="5">
        <f t="shared" si="0"/>
        <v>400.95782779970074</v>
      </c>
    </row>
    <row r="14" spans="1:10" x14ac:dyDescent="0.2">
      <c r="A14" s="5">
        <f>401.37815</f>
        <v>401.37815000000001</v>
      </c>
      <c r="B14" s="3">
        <f>419000</f>
        <v>419000</v>
      </c>
      <c r="C14" s="1" t="s">
        <v>5</v>
      </c>
      <c r="D14" s="5">
        <f>3.01725044</f>
        <v>3.0172504400000002</v>
      </c>
      <c r="E14" s="5">
        <f>6.10533975</f>
        <v>6.1053397499999997</v>
      </c>
      <c r="F14" s="1">
        <v>5</v>
      </c>
      <c r="G14" s="1">
        <v>7</v>
      </c>
      <c r="H14" s="5">
        <f t="shared" si="0"/>
        <v>401.16475267020792</v>
      </c>
    </row>
    <row r="15" spans="1:10" x14ac:dyDescent="0.2">
      <c r="A15" s="5">
        <f>401.45306</f>
        <v>401.45305999999999</v>
      </c>
      <c r="B15" s="3">
        <f>15300000</f>
        <v>15300000</v>
      </c>
      <c r="C15" s="1" t="s">
        <v>6</v>
      </c>
      <c r="D15" s="5">
        <f>3.0468689</f>
        <v>3.0468689000000002</v>
      </c>
      <c r="E15" s="5">
        <f>6.13438193</f>
        <v>6.13438193</v>
      </c>
      <c r="F15" s="1">
        <v>9</v>
      </c>
      <c r="G15" s="1">
        <v>7</v>
      </c>
      <c r="H15" s="5">
        <f t="shared" si="0"/>
        <v>401.23962951167306</v>
      </c>
    </row>
    <row r="16" spans="1:10" x14ac:dyDescent="0.2">
      <c r="A16" s="5">
        <f>401.70832</f>
        <v>401.70832000000001</v>
      </c>
      <c r="B16" s="3">
        <f>842000</f>
        <v>842000</v>
      </c>
      <c r="C16" s="1" t="s">
        <v>5</v>
      </c>
      <c r="D16" s="5">
        <f>2.75857762</f>
        <v>2.7585776200000001</v>
      </c>
      <c r="E16" s="5">
        <f>5.84412959</f>
        <v>5.8441295899999997</v>
      </c>
      <c r="F16" s="1">
        <v>7</v>
      </c>
      <c r="G16" s="1">
        <v>5</v>
      </c>
      <c r="H16" s="5">
        <f t="shared" si="0"/>
        <v>401.49464222755029</v>
      </c>
    </row>
    <row r="17" spans="1:8" x14ac:dyDescent="0.2">
      <c r="A17" s="5">
        <f>401.71483</f>
        <v>401.71483000000001</v>
      </c>
      <c r="B17" s="3">
        <f>3250000</f>
        <v>3250000</v>
      </c>
      <c r="C17" s="1" t="s">
        <v>14</v>
      </c>
      <c r="D17" s="5">
        <f>3.0468689</f>
        <v>3.0468689000000002</v>
      </c>
      <c r="E17" s="5">
        <f>6.13237029</f>
        <v>6.1323702899999999</v>
      </c>
      <c r="F17" s="1">
        <v>9</v>
      </c>
      <c r="G17" s="1">
        <v>11</v>
      </c>
      <c r="H17" s="5">
        <f t="shared" si="0"/>
        <v>401.50122384798635</v>
      </c>
    </row>
    <row r="18" spans="1:8" x14ac:dyDescent="0.2">
      <c r="A18" s="5">
        <f>401.82673</f>
        <v>401.82673</v>
      </c>
      <c r="B18" s="3">
        <f>3440000</f>
        <v>3440000</v>
      </c>
      <c r="C18" s="1" t="s">
        <v>13</v>
      </c>
      <c r="D18" s="5">
        <f>3.2657061</f>
        <v>3.2657061000000001</v>
      </c>
      <c r="E18" s="5">
        <f>6.35034852</f>
        <v>6.3503485199999998</v>
      </c>
      <c r="F18" s="1">
        <v>5</v>
      </c>
      <c r="G18" s="1">
        <v>7</v>
      </c>
      <c r="H18" s="5">
        <f t="shared" si="0"/>
        <v>401.6130285434067</v>
      </c>
    </row>
    <row r="19" spans="1:8" x14ac:dyDescent="0.2">
      <c r="A19" s="5">
        <f>401.90417</f>
        <v>401.90417000000002</v>
      </c>
      <c r="B19" s="3">
        <f>110000</f>
        <v>110000</v>
      </c>
      <c r="C19" s="1" t="s">
        <v>10</v>
      </c>
      <c r="D19" s="5">
        <f>2.60850194</f>
        <v>2.60850194</v>
      </c>
      <c r="E19" s="5">
        <f>5.6925481</f>
        <v>5.6925480999999998</v>
      </c>
      <c r="F19" s="1">
        <v>5</v>
      </c>
      <c r="G19" s="1">
        <v>7</v>
      </c>
      <c r="H19" s="5">
        <f t="shared" si="0"/>
        <v>401.69067517123773</v>
      </c>
    </row>
    <row r="20" spans="1:8" x14ac:dyDescent="0.2">
      <c r="A20" s="5">
        <f>402.0483</f>
        <v>402.04829999999998</v>
      </c>
      <c r="B20" s="3">
        <f>820000</f>
        <v>820000</v>
      </c>
      <c r="C20" s="1" t="s">
        <v>10</v>
      </c>
      <c r="D20" s="5">
        <f>3.64164057</f>
        <v>3.6416405699999999</v>
      </c>
      <c r="E20" s="5">
        <f>6.72458242</f>
        <v>6.7245824199999999</v>
      </c>
      <c r="F20" s="1">
        <v>7</v>
      </c>
      <c r="G20" s="1">
        <v>9</v>
      </c>
      <c r="H20" s="5">
        <f t="shared" si="0"/>
        <v>401.83456080096448</v>
      </c>
    </row>
    <row r="21" spans="1:8" x14ac:dyDescent="0.2">
      <c r="A21" s="5">
        <f>402.1866</f>
        <v>402.1866</v>
      </c>
      <c r="B21" s="3">
        <f>8550000</f>
        <v>8550000</v>
      </c>
      <c r="C21" s="1" t="s">
        <v>13</v>
      </c>
      <c r="D21" s="5">
        <f>2.75857762</f>
        <v>2.7585776200000001</v>
      </c>
      <c r="E21" s="5">
        <f>5.84045966</f>
        <v>5.8404596599999996</v>
      </c>
      <c r="F21" s="1">
        <v>7</v>
      </c>
      <c r="G21" s="1">
        <v>9</v>
      </c>
      <c r="H21" s="5">
        <f t="shared" si="0"/>
        <v>401.97274528705293</v>
      </c>
    </row>
    <row r="22" spans="1:8" x14ac:dyDescent="0.2">
      <c r="A22" s="5">
        <f>402.4096</f>
        <v>402.40960000000001</v>
      </c>
      <c r="B22" s="3">
        <f>107000</f>
        <v>107000</v>
      </c>
      <c r="C22" s="1" t="s">
        <v>5</v>
      </c>
      <c r="D22" s="5">
        <f>2.75857762</f>
        <v>2.7585776200000001</v>
      </c>
      <c r="E22" s="5">
        <f>5.83875215</f>
        <v>5.8387521500000004</v>
      </c>
      <c r="F22" s="1">
        <v>7</v>
      </c>
      <c r="G22" s="1">
        <v>7</v>
      </c>
      <c r="H22" s="5">
        <f t="shared" si="0"/>
        <v>402.19558086848508</v>
      </c>
    </row>
    <row r="23" spans="1:8" x14ac:dyDescent="0.2">
      <c r="A23" s="5">
        <f>402.47248</f>
        <v>402.47248000000002</v>
      </c>
      <c r="B23" s="3">
        <f>8090000</f>
        <v>8090000</v>
      </c>
      <c r="C23" s="1" t="s">
        <v>13</v>
      </c>
      <c r="D23" s="5">
        <f>3.24096914</f>
        <v>3.2409691399999998</v>
      </c>
      <c r="E23" s="5">
        <f>6.32066224</f>
        <v>6.3206622399999999</v>
      </c>
      <c r="F23" s="1">
        <v>7</v>
      </c>
      <c r="G23" s="1">
        <v>9</v>
      </c>
      <c r="H23" s="5">
        <f t="shared" si="0"/>
        <v>402.25845369776061</v>
      </c>
    </row>
    <row r="24" spans="1:8" x14ac:dyDescent="0.2">
      <c r="A24" s="5">
        <f>403.01846</f>
        <v>403.01846</v>
      </c>
      <c r="B24" s="3">
        <f>285000</f>
        <v>285000</v>
      </c>
      <c r="C24" s="1" t="s">
        <v>6</v>
      </c>
      <c r="D24" s="5">
        <f>2.1978664</f>
        <v>2.1978664000000001</v>
      </c>
      <c r="E24" s="5">
        <f>5.2733878</f>
        <v>5.2733878000000001</v>
      </c>
      <c r="F24" s="1">
        <v>5</v>
      </c>
      <c r="G24" s="1">
        <v>7</v>
      </c>
      <c r="H24" s="5">
        <f t="shared" si="0"/>
        <v>402.80408527466687</v>
      </c>
    </row>
    <row r="25" spans="1:8" x14ac:dyDescent="0.2">
      <c r="A25" s="5">
        <f>403.04883</f>
        <v>403.04883000000001</v>
      </c>
      <c r="B25" s="3">
        <f>10400000</f>
        <v>10400000</v>
      </c>
      <c r="C25" s="1" t="s">
        <v>13</v>
      </c>
      <c r="D25" s="5">
        <f>3.21118938</f>
        <v>3.21118938</v>
      </c>
      <c r="E25" s="5">
        <f>6.28647868</f>
        <v>6.2864786800000001</v>
      </c>
      <c r="F25" s="1">
        <v>9</v>
      </c>
      <c r="G25" s="1">
        <v>11</v>
      </c>
      <c r="H25" s="5">
        <f t="shared" si="0"/>
        <v>402.8344859358964</v>
      </c>
    </row>
    <row r="26" spans="1:8" x14ac:dyDescent="0.2">
      <c r="A26" s="5">
        <f>403.08902</f>
        <v>403.08902</v>
      </c>
      <c r="B26" s="3">
        <f>5020000</f>
        <v>5020000</v>
      </c>
      <c r="C26" s="1" t="s">
        <v>6</v>
      </c>
      <c r="D26" s="5">
        <f>3.69459719</f>
        <v>3.6945971900000001</v>
      </c>
      <c r="E26" s="5">
        <f>6.76958063</f>
        <v>6.7695806300000001</v>
      </c>
      <c r="F26" s="1">
        <v>9</v>
      </c>
      <c r="G26" s="1">
        <v>7</v>
      </c>
      <c r="H26" s="5">
        <f t="shared" si="0"/>
        <v>402.8745547552162</v>
      </c>
    </row>
    <row r="27" spans="1:8" x14ac:dyDescent="0.2">
      <c r="A27" s="5">
        <f>403.19604</f>
        <v>403.19603999999998</v>
      </c>
      <c r="B27" s="3">
        <f>7600000</f>
        <v>7600000</v>
      </c>
      <c r="C27" s="1" t="s">
        <v>15</v>
      </c>
      <c r="D27" s="5">
        <f>3.2739844</f>
        <v>3.2739843999999998</v>
      </c>
      <c r="E27" s="5">
        <f>6.34815078</f>
        <v>6.3481507800000001</v>
      </c>
      <c r="F27" s="1">
        <v>3</v>
      </c>
      <c r="G27" s="1">
        <v>5</v>
      </c>
      <c r="H27" s="5">
        <f t="shared" si="0"/>
        <v>402.98163181059277</v>
      </c>
    </row>
    <row r="28" spans="1:8" x14ac:dyDescent="0.2">
      <c r="A28" s="5">
        <f>403.26272</f>
        <v>403.26272</v>
      </c>
      <c r="B28" s="3">
        <f>246000</f>
        <v>246000</v>
      </c>
      <c r="C28" s="1" t="s">
        <v>15</v>
      </c>
      <c r="D28" s="5">
        <f>1.48486439</f>
        <v>1.48486439</v>
      </c>
      <c r="E28" s="5">
        <f>4.55852281</f>
        <v>4.5585228100000004</v>
      </c>
      <c r="F28" s="1">
        <v>9</v>
      </c>
      <c r="G28" s="1">
        <v>7</v>
      </c>
      <c r="H28" s="5">
        <f t="shared" si="0"/>
        <v>403.04822950029137</v>
      </c>
    </row>
    <row r="29" spans="1:8" x14ac:dyDescent="0.2">
      <c r="A29" s="5">
        <f>403.31861</f>
        <v>403.31860999999998</v>
      </c>
      <c r="B29" s="3">
        <f>84000</f>
        <v>84000</v>
      </c>
      <c r="C29" s="1" t="s">
        <v>6</v>
      </c>
      <c r="D29" s="5">
        <f>2.55917148</f>
        <v>2.5591714799999998</v>
      </c>
      <c r="E29" s="5">
        <f>5.63240401</f>
        <v>5.6324040100000001</v>
      </c>
      <c r="F29" s="1">
        <v>9</v>
      </c>
      <c r="G29" s="1">
        <v>9</v>
      </c>
      <c r="H29" s="5">
        <f t="shared" si="0"/>
        <v>403.10408411226297</v>
      </c>
    </row>
    <row r="30" spans="1:8" x14ac:dyDescent="0.2">
      <c r="A30" s="5">
        <f>403.6366</f>
        <v>403.63659999999999</v>
      </c>
      <c r="B30" s="3">
        <f>96000</f>
        <v>96000</v>
      </c>
      <c r="C30" s="1" t="s">
        <v>10</v>
      </c>
      <c r="D30" s="5">
        <f>2.75857762</f>
        <v>2.7585776200000001</v>
      </c>
      <c r="E30" s="5">
        <f>5.82938837</f>
        <v>5.8293883700000002</v>
      </c>
      <c r="F30" s="1">
        <v>7</v>
      </c>
      <c r="G30" s="1">
        <v>7</v>
      </c>
      <c r="H30" s="5">
        <f t="shared" si="0"/>
        <v>403.42199019254537</v>
      </c>
    </row>
    <row r="31" spans="1:8" x14ac:dyDescent="0.2">
      <c r="A31" s="5">
        <f>404.06379</f>
        <v>404.06378999999998</v>
      </c>
      <c r="B31" s="3">
        <f>4800000</f>
        <v>4800000</v>
      </c>
      <c r="C31" s="1" t="s">
        <v>15</v>
      </c>
      <c r="D31" s="5">
        <f>3.30092244</f>
        <v>3.3009224399999999</v>
      </c>
      <c r="E31" s="5">
        <f>6.36848691</f>
        <v>6.3684869099999997</v>
      </c>
      <c r="F31" s="1">
        <v>5</v>
      </c>
      <c r="G31" s="1">
        <v>7</v>
      </c>
      <c r="H31" s="5">
        <f t="shared" si="0"/>
        <v>403.8489154458303</v>
      </c>
    </row>
    <row r="32" spans="1:8" x14ac:dyDescent="0.2">
      <c r="A32" s="5">
        <f>404.38964</f>
        <v>404.38963999999999</v>
      </c>
      <c r="B32" s="3">
        <f>8690000</f>
        <v>8690000</v>
      </c>
      <c r="C32" s="1" t="s">
        <v>15</v>
      </c>
      <c r="D32" s="5">
        <f>3.24096914</f>
        <v>3.2409691399999998</v>
      </c>
      <c r="E32" s="5">
        <f>6.30606149</f>
        <v>6.3060614900000003</v>
      </c>
      <c r="F32" s="1">
        <v>7</v>
      </c>
      <c r="G32" s="1">
        <v>7</v>
      </c>
      <c r="H32" s="5">
        <f t="shared" si="0"/>
        <v>404.17463580490903</v>
      </c>
    </row>
    <row r="33" spans="1:8" x14ac:dyDescent="0.2">
      <c r="A33" s="5">
        <f>404.46089</f>
        <v>404.46089000000001</v>
      </c>
      <c r="B33" s="3">
        <f>8170000</f>
        <v>8170000</v>
      </c>
      <c r="C33" s="1" t="s">
        <v>13</v>
      </c>
      <c r="D33" s="5">
        <f>2.83159117</f>
        <v>2.8315911699999998</v>
      </c>
      <c r="E33" s="5">
        <f>5.89614419</f>
        <v>5.8961441900000002</v>
      </c>
      <c r="F33" s="1">
        <v>5</v>
      </c>
      <c r="G33" s="1">
        <v>3</v>
      </c>
      <c r="H33" s="5">
        <f t="shared" si="0"/>
        <v>404.24576640859124</v>
      </c>
    </row>
    <row r="34" spans="1:8" x14ac:dyDescent="0.2">
      <c r="A34" s="5">
        <f>404.55936</f>
        <v>404.55936000000003</v>
      </c>
      <c r="B34" s="3">
        <f>7390000</f>
        <v>7390000</v>
      </c>
      <c r="C34" s="1" t="s">
        <v>5</v>
      </c>
      <c r="D34" s="5">
        <f>3.21118938</f>
        <v>3.21118938</v>
      </c>
      <c r="E34" s="5">
        <f>6.27499663</f>
        <v>6.2749966300000004</v>
      </c>
      <c r="F34" s="1">
        <v>9</v>
      </c>
      <c r="G34" s="1">
        <v>7</v>
      </c>
      <c r="H34" s="5">
        <f t="shared" si="0"/>
        <v>404.34416501549271</v>
      </c>
    </row>
    <row r="35" spans="1:8" x14ac:dyDescent="0.2">
      <c r="A35" s="5">
        <f>404.58122</f>
        <v>404.58121999999997</v>
      </c>
      <c r="B35" s="3">
        <f>86200000</f>
        <v>86200000</v>
      </c>
      <c r="C35" s="1" t="s">
        <v>11</v>
      </c>
      <c r="D35" s="5">
        <f>1.48486439</f>
        <v>1.48486439</v>
      </c>
      <c r="E35" s="5">
        <f>4.54850612</f>
        <v>4.5485061199999999</v>
      </c>
      <c r="F35" s="1">
        <v>9</v>
      </c>
      <c r="G35" s="1">
        <v>9</v>
      </c>
      <c r="H35" s="5">
        <f t="shared" si="0"/>
        <v>404.36601060061389</v>
      </c>
    </row>
    <row r="36" spans="1:8" x14ac:dyDescent="0.2">
      <c r="A36" s="5">
        <f>404.6062</f>
        <v>404.6062</v>
      </c>
      <c r="B36" s="3">
        <f>6850000</f>
        <v>6850000</v>
      </c>
      <c r="C36" s="1" t="s">
        <v>6</v>
      </c>
      <c r="D36" s="5">
        <f>3.2657061</f>
        <v>3.2657061000000001</v>
      </c>
      <c r="E36" s="5">
        <f>6.32915863</f>
        <v>6.3291586300000002</v>
      </c>
      <c r="F36" s="1">
        <v>5</v>
      </c>
      <c r="G36" s="1">
        <v>3</v>
      </c>
      <c r="H36" s="5">
        <f t="shared" si="0"/>
        <v>404.39098440009548</v>
      </c>
    </row>
    <row r="37" spans="1:8" x14ac:dyDescent="0.2">
      <c r="A37" s="5">
        <f>404.73037</f>
        <v>404.73036999999999</v>
      </c>
      <c r="B37" s="3">
        <f>215000</f>
        <v>215000</v>
      </c>
      <c r="C37" s="1" t="s">
        <v>5</v>
      </c>
      <c r="D37" s="5">
        <f>2.27860466</f>
        <v>2.2786046600000001</v>
      </c>
      <c r="E37" s="5">
        <f>5.34111814</f>
        <v>5.3411181399999998</v>
      </c>
      <c r="F37" s="1">
        <v>5</v>
      </c>
      <c r="G37" s="1">
        <v>3</v>
      </c>
      <c r="H37" s="5">
        <f t="shared" si="0"/>
        <v>404.51498168415026</v>
      </c>
    </row>
    <row r="38" spans="1:8" x14ac:dyDescent="0.2">
      <c r="A38" s="5">
        <f>404.93267</f>
        <v>404.93266999999997</v>
      </c>
      <c r="B38" s="3">
        <f>211000</f>
        <v>211000</v>
      </c>
      <c r="C38" s="1" t="s">
        <v>13</v>
      </c>
      <c r="D38" s="5">
        <f>2.58810592</f>
        <v>2.5881059199999998</v>
      </c>
      <c r="E38" s="5">
        <f>5.64908881</f>
        <v>5.6490888100000003</v>
      </c>
      <c r="F38" s="1">
        <v>7</v>
      </c>
      <c r="G38" s="1">
        <v>7</v>
      </c>
      <c r="H38" s="5">
        <f t="shared" si="0"/>
        <v>404.71725219923155</v>
      </c>
    </row>
    <row r="39" spans="1:8" x14ac:dyDescent="0.2">
      <c r="A39" s="5">
        <f>405.19051</f>
        <v>405.19051000000002</v>
      </c>
      <c r="B39" s="3">
        <f>3300000</f>
        <v>3300000</v>
      </c>
      <c r="C39" s="1" t="s">
        <v>12</v>
      </c>
      <c r="D39" s="5">
        <f>3.3965088</f>
        <v>3.3965087999999999</v>
      </c>
      <c r="E39" s="5">
        <f>6.45554341</f>
        <v>6.4555434099999998</v>
      </c>
      <c r="F39" s="1">
        <v>7</v>
      </c>
      <c r="G39" s="1">
        <v>5</v>
      </c>
      <c r="H39" s="5">
        <f t="shared" si="0"/>
        <v>404.97501408448045</v>
      </c>
    </row>
    <row r="40" spans="1:8" x14ac:dyDescent="0.2">
      <c r="A40" s="5">
        <f>405.41768</f>
        <v>405.41768000000002</v>
      </c>
      <c r="B40" s="3">
        <f>770000</f>
        <v>770000</v>
      </c>
      <c r="C40" s="1" t="s">
        <v>12</v>
      </c>
      <c r="D40" s="5">
        <f>3.2657061</f>
        <v>3.2657061000000001</v>
      </c>
      <c r="E40" s="5">
        <f>6.32302612</f>
        <v>6.3230261199999998</v>
      </c>
      <c r="F40" s="1">
        <v>5</v>
      </c>
      <c r="G40" s="1">
        <v>5</v>
      </c>
      <c r="H40" s="5">
        <f t="shared" si="0"/>
        <v>405.20213002421087</v>
      </c>
    </row>
    <row r="41" spans="1:8" x14ac:dyDescent="0.2">
      <c r="A41" s="5">
        <f>405.48666</f>
        <v>405.48665999999997</v>
      </c>
      <c r="B41" s="3">
        <f>9610000</f>
        <v>9610000</v>
      </c>
      <c r="C41" s="1" t="s">
        <v>13</v>
      </c>
      <c r="D41" s="5">
        <f>3.41695281</f>
        <v>3.4169528100000002</v>
      </c>
      <c r="E41" s="5">
        <f>6.47375371</f>
        <v>6.4737537100000004</v>
      </c>
      <c r="F41" s="1">
        <v>5</v>
      </c>
      <c r="G41" s="1">
        <v>3</v>
      </c>
      <c r="H41" s="5">
        <f t="shared" si="0"/>
        <v>405.27094331517071</v>
      </c>
    </row>
    <row r="42" spans="1:8" x14ac:dyDescent="0.2">
      <c r="A42" s="5">
        <f>405.50352</f>
        <v>405.50351999999998</v>
      </c>
      <c r="B42" s="3">
        <f>443000</f>
        <v>443000</v>
      </c>
      <c r="C42" s="1" t="s">
        <v>14</v>
      </c>
      <c r="D42" s="5">
        <f>2.55917148</f>
        <v>2.5591714799999998</v>
      </c>
      <c r="E42" s="5">
        <f>5.61584517</f>
        <v>5.6158451700000001</v>
      </c>
      <c r="F42" s="1">
        <v>9</v>
      </c>
      <c r="G42" s="1">
        <v>11</v>
      </c>
      <c r="H42" s="5">
        <f t="shared" si="0"/>
        <v>405.28780953051705</v>
      </c>
    </row>
    <row r="43" spans="1:8" x14ac:dyDescent="0.2">
      <c r="A43" s="5">
        <f>405.73433</f>
        <v>405.73433</v>
      </c>
      <c r="B43" s="3">
        <f>495000</f>
        <v>495000</v>
      </c>
      <c r="C43" s="1" t="s">
        <v>5</v>
      </c>
      <c r="D43" s="5">
        <f>2.75857762</f>
        <v>2.7585776200000001</v>
      </c>
      <c r="E43" s="5">
        <f>5.81351269</f>
        <v>5.8135126899999996</v>
      </c>
      <c r="F43" s="1">
        <v>7</v>
      </c>
      <c r="G43" s="1">
        <v>9</v>
      </c>
      <c r="H43" s="5">
        <f t="shared" si="0"/>
        <v>405.51846631217046</v>
      </c>
    </row>
    <row r="44" spans="1:8" x14ac:dyDescent="0.2">
      <c r="A44" s="5">
        <f>405.8217</f>
        <v>405.82170000000002</v>
      </c>
      <c r="B44" s="3">
        <f>4470000</f>
        <v>4470000</v>
      </c>
      <c r="C44" s="1" t="s">
        <v>6</v>
      </c>
      <c r="D44" s="5">
        <f>3.21118938</f>
        <v>3.21118938</v>
      </c>
      <c r="E44" s="5">
        <f>6.26546671</f>
        <v>6.2654667100000001</v>
      </c>
      <c r="F44" s="1">
        <v>9</v>
      </c>
      <c r="G44" s="1">
        <v>7</v>
      </c>
      <c r="H44" s="5">
        <f t="shared" si="0"/>
        <v>405.60579489671386</v>
      </c>
    </row>
    <row r="45" spans="1:8" x14ac:dyDescent="0.2">
      <c r="A45" s="5">
        <f>405.87537</f>
        <v>405.87536999999998</v>
      </c>
      <c r="B45" s="3">
        <f>652000</f>
        <v>652000</v>
      </c>
      <c r="C45" s="1" t="s">
        <v>5</v>
      </c>
      <c r="D45" s="5">
        <f>2.42419831</f>
        <v>2.42419831</v>
      </c>
      <c r="E45" s="5">
        <f>5.4780717</f>
        <v>5.4780717000000001</v>
      </c>
      <c r="F45" s="1">
        <v>3</v>
      </c>
      <c r="G45" s="1">
        <v>5</v>
      </c>
      <c r="H45" s="5">
        <f t="shared" si="0"/>
        <v>405.65944492861337</v>
      </c>
    </row>
    <row r="46" spans="1:8" x14ac:dyDescent="0.2">
      <c r="A46" s="5">
        <f>405.97133</f>
        <v>405.97133000000002</v>
      </c>
      <c r="B46" s="3">
        <f>5710000</f>
        <v>5710000</v>
      </c>
      <c r="C46" s="1" t="s">
        <v>6</v>
      </c>
      <c r="D46" s="5">
        <f>3.54652001</f>
        <v>3.5465200100000001</v>
      </c>
      <c r="E46" s="5">
        <f>6.59967157</f>
        <v>6.5996715699999999</v>
      </c>
      <c r="F46" s="1">
        <v>5</v>
      </c>
      <c r="G46" s="1">
        <v>3</v>
      </c>
      <c r="H46" s="5">
        <f t="shared" si="0"/>
        <v>405.7553514538476</v>
      </c>
    </row>
    <row r="47" spans="1:8" x14ac:dyDescent="0.2">
      <c r="A47" s="5">
        <f>406.24406</f>
        <v>406.24405999999999</v>
      </c>
      <c r="B47" s="3">
        <f>18500000</f>
        <v>18500000</v>
      </c>
      <c r="C47" s="1" t="s">
        <v>6</v>
      </c>
      <c r="D47" s="5">
        <f>2.84504259</f>
        <v>2.8450425899999998</v>
      </c>
      <c r="E47" s="5">
        <f>5.89614419</f>
        <v>5.8961441900000002</v>
      </c>
      <c r="F47" s="1">
        <v>3</v>
      </c>
      <c r="G47" s="1">
        <v>3</v>
      </c>
      <c r="H47" s="5">
        <f t="shared" si="0"/>
        <v>406.02796847855308</v>
      </c>
    </row>
    <row r="48" spans="1:8" x14ac:dyDescent="0.2">
      <c r="A48" s="5">
        <f>406.35939</f>
        <v>406.35939000000002</v>
      </c>
      <c r="B48" s="3">
        <f>66500000</f>
        <v>66500000</v>
      </c>
      <c r="C48" s="1" t="s">
        <v>14</v>
      </c>
      <c r="D48" s="5">
        <f>1.55735733</f>
        <v>1.5573573300000001</v>
      </c>
      <c r="E48" s="5">
        <f>4.60759327</f>
        <v>4.6075932699999997</v>
      </c>
      <c r="F48" s="1">
        <v>7</v>
      </c>
      <c r="G48" s="1">
        <v>7</v>
      </c>
      <c r="H48" s="5">
        <f t="shared" si="0"/>
        <v>406.14319962070323</v>
      </c>
    </row>
    <row r="49" spans="1:8" x14ac:dyDescent="0.2">
      <c r="A49" s="5">
        <f>406.53809</f>
        <v>406.53809000000001</v>
      </c>
      <c r="B49" s="3">
        <f>17000000</f>
        <v>17000000</v>
      </c>
      <c r="C49" s="1" t="s">
        <v>15</v>
      </c>
      <c r="D49" s="5">
        <f>3.43018998</f>
        <v>3.4301899800000002</v>
      </c>
      <c r="E49" s="5">
        <f>6.47908516</f>
        <v>6.4790851600000003</v>
      </c>
      <c r="F49" s="1">
        <v>3</v>
      </c>
      <c r="G49" s="1">
        <v>1</v>
      </c>
      <c r="H49" s="5">
        <f t="shared" si="0"/>
        <v>406.32180220431945</v>
      </c>
    </row>
    <row r="50" spans="1:8" x14ac:dyDescent="0.2">
      <c r="A50" s="5">
        <f>406.6585</f>
        <v>406.6585</v>
      </c>
      <c r="B50" s="3">
        <f>1170000</f>
        <v>1170000</v>
      </c>
      <c r="C50" s="1" t="s">
        <v>13</v>
      </c>
      <c r="D50" s="5">
        <f>2.99035244</f>
        <v>2.9903524400000001</v>
      </c>
      <c r="E50" s="5">
        <f>6.03834476</f>
        <v>6.0383447600000002</v>
      </c>
      <c r="F50" s="1">
        <v>9</v>
      </c>
      <c r="G50" s="1">
        <v>9</v>
      </c>
      <c r="H50" s="5">
        <f t="shared" si="0"/>
        <v>406.44216067764336</v>
      </c>
    </row>
    <row r="51" spans="1:8" x14ac:dyDescent="0.2">
      <c r="A51" s="5">
        <f>406.72709</f>
        <v>406.72708999999998</v>
      </c>
      <c r="B51" s="3">
        <f>2190000</f>
        <v>2190000</v>
      </c>
      <c r="C51" s="1" t="s">
        <v>13</v>
      </c>
      <c r="D51" s="5">
        <f>2.55917148</f>
        <v>2.5591714799999998</v>
      </c>
      <c r="E51" s="5">
        <f>5.60664989</f>
        <v>5.6066498899999999</v>
      </c>
      <c r="F51" s="1">
        <v>9</v>
      </c>
      <c r="G51" s="1">
        <v>7</v>
      </c>
      <c r="H51" s="5">
        <f t="shared" si="0"/>
        <v>406.51070084846407</v>
      </c>
    </row>
    <row r="52" spans="1:8" x14ac:dyDescent="0.2">
      <c r="A52" s="5">
        <f>406.79775</f>
        <v>406.79775000000001</v>
      </c>
      <c r="B52" s="3">
        <f>15100000</f>
        <v>15100000</v>
      </c>
      <c r="C52" s="1" t="s">
        <v>13</v>
      </c>
      <c r="D52" s="5">
        <f>3.21118938</f>
        <v>3.21118938</v>
      </c>
      <c r="E52" s="5">
        <f>6.25813812</f>
        <v>6.2581381199999999</v>
      </c>
      <c r="F52" s="1">
        <v>9</v>
      </c>
      <c r="G52" s="1">
        <v>9</v>
      </c>
      <c r="H52" s="5">
        <f t="shared" si="0"/>
        <v>406.58136712521878</v>
      </c>
    </row>
    <row r="53" spans="1:8" x14ac:dyDescent="0.2">
      <c r="A53" s="5">
        <f>406.9067</f>
        <v>406.9067</v>
      </c>
      <c r="B53" s="3">
        <f>1900000</f>
        <v>1900000</v>
      </c>
      <c r="C53" s="1" t="s">
        <v>12</v>
      </c>
      <c r="D53" s="5">
        <f>3.28302483</f>
        <v>3.28302483</v>
      </c>
      <c r="E53" s="5">
        <f>6.32915863</f>
        <v>6.3291586300000002</v>
      </c>
      <c r="F53" s="1">
        <v>3</v>
      </c>
      <c r="G53" s="1">
        <v>3</v>
      </c>
      <c r="H53" s="5">
        <f t="shared" si="0"/>
        <v>406.6901408827357</v>
      </c>
    </row>
    <row r="54" spans="1:8" x14ac:dyDescent="0.2">
      <c r="A54" s="5">
        <f>407.07705</f>
        <v>407.07704999999999</v>
      </c>
      <c r="B54" s="3">
        <f>11000000</f>
        <v>11000000</v>
      </c>
      <c r="C54" s="1" t="s">
        <v>15</v>
      </c>
      <c r="D54" s="5">
        <f>3.24096914</f>
        <v>3.2409691399999998</v>
      </c>
      <c r="E54" s="5">
        <f>6.28582776</f>
        <v>6.2858277600000001</v>
      </c>
      <c r="F54" s="1">
        <v>7</v>
      </c>
      <c r="G54" s="1">
        <v>5</v>
      </c>
      <c r="H54" s="5">
        <f t="shared" si="0"/>
        <v>406.86046180681547</v>
      </c>
    </row>
    <row r="55" spans="1:8" x14ac:dyDescent="0.2">
      <c r="A55" s="5">
        <f>407.15198</f>
        <v>407.15197999999998</v>
      </c>
      <c r="B55" s="3">
        <f>428000</f>
        <v>428000</v>
      </c>
      <c r="C55" s="1" t="s">
        <v>14</v>
      </c>
      <c r="D55" s="5">
        <f>2.58810592</f>
        <v>2.5881059199999998</v>
      </c>
      <c r="E55" s="5">
        <f>5.63240401</f>
        <v>5.6324040100000001</v>
      </c>
      <c r="F55" s="1">
        <v>7</v>
      </c>
      <c r="G55" s="1">
        <v>9</v>
      </c>
      <c r="H55" s="5">
        <f t="shared" si="0"/>
        <v>406.93537480413517</v>
      </c>
    </row>
    <row r="56" spans="1:8" x14ac:dyDescent="0.2">
      <c r="A56" s="5">
        <f>407.17377</f>
        <v>407.17376999999999</v>
      </c>
      <c r="B56" s="3">
        <f>76400000</f>
        <v>76400000</v>
      </c>
      <c r="C56" s="1" t="s">
        <v>11</v>
      </c>
      <c r="D56" s="5">
        <f>1.60789577</f>
        <v>1.6078957700000001</v>
      </c>
      <c r="E56" s="5">
        <f>4.65203107</f>
        <v>4.6520310699999996</v>
      </c>
      <c r="F56" s="1">
        <v>5</v>
      </c>
      <c r="G56" s="1">
        <v>5</v>
      </c>
      <c r="H56" s="5">
        <f t="shared" si="0"/>
        <v>406.95713632362629</v>
      </c>
    </row>
    <row r="57" spans="1:8" x14ac:dyDescent="0.2">
      <c r="A57" s="5">
        <f>407.25021</f>
        <v>407.25020999999998</v>
      </c>
      <c r="B57" s="3">
        <f>4880000</f>
        <v>4880000</v>
      </c>
      <c r="C57" s="1" t="s">
        <v>13</v>
      </c>
      <c r="D57" s="5">
        <f>3.43018998</f>
        <v>3.4301899800000002</v>
      </c>
      <c r="E57" s="5">
        <f>6.47375371</f>
        <v>6.4737537100000004</v>
      </c>
      <c r="F57" s="1">
        <v>3</v>
      </c>
      <c r="G57" s="1">
        <v>3</v>
      </c>
      <c r="H57" s="5">
        <f t="shared" si="0"/>
        <v>407.0335613671092</v>
      </c>
    </row>
    <row r="58" spans="1:8" x14ac:dyDescent="0.2">
      <c r="A58" s="5">
        <f>407.3762</f>
        <v>407.37619999999998</v>
      </c>
      <c r="B58" s="3">
        <f>16800000</f>
        <v>16800000</v>
      </c>
      <c r="C58" s="1" t="s">
        <v>13</v>
      </c>
      <c r="D58" s="5">
        <f>3.2657061</f>
        <v>3.2657061000000001</v>
      </c>
      <c r="E58" s="5">
        <f>6.30832866</f>
        <v>6.3083286599999999</v>
      </c>
      <c r="F58" s="1">
        <v>5</v>
      </c>
      <c r="G58" s="1">
        <v>3</v>
      </c>
      <c r="H58" s="5">
        <f t="shared" si="0"/>
        <v>407.1594684651464</v>
      </c>
    </row>
    <row r="59" spans="1:8" x14ac:dyDescent="0.2">
      <c r="A59" s="5">
        <f>407.4786</f>
        <v>407.47859999999997</v>
      </c>
      <c r="B59" s="3">
        <f>3430000</f>
        <v>3430000</v>
      </c>
      <c r="C59" s="1" t="s">
        <v>6</v>
      </c>
      <c r="D59" s="5">
        <f>3.0468689</f>
        <v>3.0468689000000002</v>
      </c>
      <c r="E59" s="5">
        <f>6.08872711</f>
        <v>6.0887271099999998</v>
      </c>
      <c r="F59" s="1">
        <v>9</v>
      </c>
      <c r="G59" s="1">
        <v>9</v>
      </c>
      <c r="H59" s="5">
        <f t="shared" si="0"/>
        <v>407.26177840802887</v>
      </c>
    </row>
    <row r="60" spans="1:8" x14ac:dyDescent="0.2">
      <c r="A60" s="5">
        <f>407.62177</f>
        <v>407.62177000000003</v>
      </c>
      <c r="B60" s="3">
        <f>1400000</f>
        <v>1400000</v>
      </c>
      <c r="C60" s="1" t="s">
        <v>10</v>
      </c>
      <c r="D60" s="5">
        <f>3.0713388</f>
        <v>3.0713387999999999</v>
      </c>
      <c r="E60" s="5">
        <f>6.11212776</f>
        <v>6.1121277599999999</v>
      </c>
      <c r="F60" s="1">
        <v>3</v>
      </c>
      <c r="G60" s="1">
        <v>3</v>
      </c>
      <c r="H60" s="5">
        <f t="shared" si="0"/>
        <v>407.4049861946562</v>
      </c>
    </row>
    <row r="61" spans="1:8" x14ac:dyDescent="0.2">
      <c r="A61" s="5">
        <f>407.64895</f>
        <v>407.64895000000001</v>
      </c>
      <c r="B61" s="3">
        <f>443000</f>
        <v>443000</v>
      </c>
      <c r="C61" s="1" t="s">
        <v>13</v>
      </c>
      <c r="D61" s="5">
        <f>2.60850194</f>
        <v>2.60850194</v>
      </c>
      <c r="E61" s="5">
        <f>5.64908881</f>
        <v>5.6490888100000003</v>
      </c>
      <c r="F61" s="1">
        <v>5</v>
      </c>
      <c r="G61" s="1">
        <v>7</v>
      </c>
      <c r="H61" s="5">
        <f t="shared" si="0"/>
        <v>407.43206401784624</v>
      </c>
    </row>
    <row r="62" spans="1:8" x14ac:dyDescent="0.2">
      <c r="A62" s="5">
        <f>407.66288</f>
        <v>407.66287999999997</v>
      </c>
      <c r="B62" s="3">
        <f>13200000</f>
        <v>13200000</v>
      </c>
      <c r="C62" s="1" t="s">
        <v>13</v>
      </c>
      <c r="D62" s="5">
        <f>3.21118938</f>
        <v>3.21118938</v>
      </c>
      <c r="E62" s="5">
        <f>6.25167222</f>
        <v>6.2516722199999997</v>
      </c>
      <c r="F62" s="1">
        <v>9</v>
      </c>
      <c r="G62" s="1">
        <v>9</v>
      </c>
      <c r="H62" s="5">
        <f t="shared" si="0"/>
        <v>407.4460042897868</v>
      </c>
    </row>
    <row r="63" spans="1:8" x14ac:dyDescent="0.2">
      <c r="A63" s="5">
        <f>407.67997</f>
        <v>407.67997000000003</v>
      </c>
      <c r="B63" s="3">
        <f>3810000</f>
        <v>3810000</v>
      </c>
      <c r="C63" s="1" t="s">
        <v>15</v>
      </c>
      <c r="D63" s="5">
        <f>3.2657061</f>
        <v>3.2657061000000001</v>
      </c>
      <c r="E63" s="5">
        <f>6.30606149</f>
        <v>6.3060614900000003</v>
      </c>
      <c r="F63" s="1">
        <v>5</v>
      </c>
      <c r="G63" s="1">
        <v>7</v>
      </c>
      <c r="H63" s="5">
        <f t="shared" si="0"/>
        <v>407.46308419873992</v>
      </c>
    </row>
    <row r="64" spans="1:8" x14ac:dyDescent="0.2">
      <c r="A64" s="5">
        <f>407.83536</f>
        <v>407.83535999999998</v>
      </c>
      <c r="B64" s="3">
        <f>4550000</f>
        <v>4550000</v>
      </c>
      <c r="C64" s="1" t="s">
        <v>14</v>
      </c>
      <c r="D64" s="5">
        <f>2.60850194</f>
        <v>2.60850194</v>
      </c>
      <c r="E64" s="5">
        <f>5.64769932</f>
        <v>5.6476993200000001</v>
      </c>
      <c r="F64" s="1">
        <v>5</v>
      </c>
      <c r="G64" s="1">
        <v>3</v>
      </c>
      <c r="H64" s="5">
        <f t="shared" si="0"/>
        <v>407.61833779603444</v>
      </c>
    </row>
    <row r="65" spans="1:8" x14ac:dyDescent="0.2">
      <c r="A65" s="5">
        <f>407.91678</f>
        <v>407.91678000000002</v>
      </c>
      <c r="B65" s="3">
        <f>5400000</f>
        <v>5400000</v>
      </c>
      <c r="C65" s="1" t="s">
        <v>10</v>
      </c>
      <c r="D65" s="5">
        <f>3.41695281</f>
        <v>3.4169528100000002</v>
      </c>
      <c r="E65" s="5">
        <f>6.45554341</f>
        <v>6.4555434099999998</v>
      </c>
      <c r="F65" s="1">
        <v>5</v>
      </c>
      <c r="G65" s="1">
        <v>5</v>
      </c>
      <c r="H65" s="5">
        <f t="shared" si="0"/>
        <v>407.69973561744814</v>
      </c>
    </row>
    <row r="66" spans="1:8" x14ac:dyDescent="0.2">
      <c r="A66" s="5">
        <f>407.98377</f>
        <v>407.98376999999999</v>
      </c>
      <c r="B66" s="3">
        <f>5830000</f>
        <v>5830000</v>
      </c>
      <c r="C66" s="1" t="s">
        <v>13</v>
      </c>
      <c r="D66" s="5">
        <f>2.85805275</f>
        <v>2.8580527500000001</v>
      </c>
      <c r="E66" s="5">
        <f>5.89614419</f>
        <v>5.8961441900000002</v>
      </c>
      <c r="F66" s="1">
        <v>1</v>
      </c>
      <c r="G66" s="1">
        <v>3</v>
      </c>
      <c r="H66" s="5">
        <f t="shared" si="0"/>
        <v>407.76672089555768</v>
      </c>
    </row>
    <row r="67" spans="1:8" x14ac:dyDescent="0.2">
      <c r="A67" s="5">
        <f>408.02089</f>
        <v>408.02089000000001</v>
      </c>
      <c r="B67" s="3">
        <f>23000000</f>
        <v>23000000</v>
      </c>
      <c r="C67" s="1" t="s">
        <v>12</v>
      </c>
      <c r="D67" s="5">
        <f>3.28302483</f>
        <v>3.28302483</v>
      </c>
      <c r="E67" s="5">
        <f>6.32083991</f>
        <v>6.3208399100000001</v>
      </c>
      <c r="F67" s="1">
        <v>3</v>
      </c>
      <c r="G67" s="1">
        <v>1</v>
      </c>
      <c r="H67" s="5">
        <f t="shared" ref="H67:H130" si="1">$J$2*$J$1/((E67-D67)*$J$3)*1000000000</f>
        <v>407.80381677138257</v>
      </c>
    </row>
    <row r="68" spans="1:8" x14ac:dyDescent="0.2">
      <c r="A68" s="5">
        <f>408.08766</f>
        <v>408.08766000000003</v>
      </c>
      <c r="B68" s="3">
        <f>2300000</f>
        <v>2300000</v>
      </c>
      <c r="C68" s="1" t="s">
        <v>12</v>
      </c>
      <c r="D68" s="5">
        <f>3.29183986</f>
        <v>3.2918398600000001</v>
      </c>
      <c r="E68" s="5">
        <f>6.32915863</f>
        <v>6.3291586300000002</v>
      </c>
      <c r="F68" s="1">
        <v>1</v>
      </c>
      <c r="G68" s="1">
        <v>3</v>
      </c>
      <c r="H68" s="5">
        <f t="shared" si="1"/>
        <v>407.87045354138547</v>
      </c>
    </row>
    <row r="69" spans="1:8" x14ac:dyDescent="0.2">
      <c r="A69" s="5">
        <f>408.21076</f>
        <v>408.21075999999999</v>
      </c>
      <c r="B69" s="3">
        <f>2500000</f>
        <v>2500000</v>
      </c>
      <c r="C69" s="1" t="s">
        <v>12</v>
      </c>
      <c r="D69" s="5">
        <f>3.41695281</f>
        <v>3.4169528100000002</v>
      </c>
      <c r="E69" s="5">
        <f>6.45335558</f>
        <v>6.4533555800000002</v>
      </c>
      <c r="F69" s="1">
        <v>5</v>
      </c>
      <c r="G69" s="1">
        <v>5</v>
      </c>
      <c r="H69" s="5">
        <f t="shared" si="1"/>
        <v>407.99349694627728</v>
      </c>
    </row>
    <row r="70" spans="1:8" x14ac:dyDescent="0.2">
      <c r="A70" s="5">
        <f>408.24243</f>
        <v>408.24243000000001</v>
      </c>
      <c r="B70" s="3">
        <f>4000000</f>
        <v>4000000</v>
      </c>
      <c r="C70" s="1" t="s">
        <v>10</v>
      </c>
      <c r="D70" s="5">
        <f>3.63521992</f>
        <v>3.6352199199999999</v>
      </c>
      <c r="E70" s="5">
        <f>6.67138589</f>
        <v>6.6713858899999998</v>
      </c>
      <c r="F70" s="1">
        <v>3</v>
      </c>
      <c r="G70" s="1">
        <v>3</v>
      </c>
      <c r="H70" s="5">
        <f t="shared" si="1"/>
        <v>408.02531762440606</v>
      </c>
    </row>
    <row r="71" spans="1:8" x14ac:dyDescent="0.2">
      <c r="A71" s="5">
        <f>408.35489</f>
        <v>408.35489000000001</v>
      </c>
      <c r="B71" s="3">
        <f>184000</f>
        <v>184000</v>
      </c>
      <c r="C71" s="1" t="s">
        <v>5</v>
      </c>
      <c r="D71" s="5">
        <f>2.27860466</f>
        <v>2.2786046600000001</v>
      </c>
      <c r="E71" s="5">
        <f>5.31393522</f>
        <v>5.3139352200000003</v>
      </c>
      <c r="F71" s="1">
        <v>5</v>
      </c>
      <c r="G71" s="1">
        <v>5</v>
      </c>
      <c r="H71" s="5">
        <f t="shared" si="1"/>
        <v>408.13761789083787</v>
      </c>
    </row>
    <row r="72" spans="1:8" x14ac:dyDescent="0.2">
      <c r="A72" s="5">
        <f>408.44913</f>
        <v>408.44913000000003</v>
      </c>
      <c r="B72" s="3">
        <f>8660000</f>
        <v>8660000</v>
      </c>
      <c r="C72" s="1" t="s">
        <v>6</v>
      </c>
      <c r="D72" s="5">
        <f>3.33201954</f>
        <v>3.3320195400000001</v>
      </c>
      <c r="E72" s="5">
        <f>6.36664959</f>
        <v>6.3666495899999997</v>
      </c>
      <c r="F72" s="1">
        <v>11</v>
      </c>
      <c r="G72" s="1">
        <v>9</v>
      </c>
      <c r="H72" s="5">
        <f t="shared" si="1"/>
        <v>408.23183184047861</v>
      </c>
    </row>
    <row r="73" spans="1:8" x14ac:dyDescent="0.2">
      <c r="A73" s="5">
        <f>408.50038</f>
        <v>408.50038000000001</v>
      </c>
      <c r="B73" s="3">
        <f>4700000</f>
        <v>4700000</v>
      </c>
      <c r="C73" s="1" t="s">
        <v>12</v>
      </c>
      <c r="D73" s="5">
        <f>2.84504259</f>
        <v>2.8450425899999998</v>
      </c>
      <c r="E73" s="5">
        <f>5.87929188</f>
        <v>5.8792918800000002</v>
      </c>
      <c r="F73" s="1">
        <v>3</v>
      </c>
      <c r="G73" s="1">
        <v>5</v>
      </c>
      <c r="H73" s="5">
        <f t="shared" si="1"/>
        <v>408.28305978434054</v>
      </c>
    </row>
    <row r="74" spans="1:8" x14ac:dyDescent="0.2">
      <c r="A74" s="5">
        <f>408.53028</f>
        <v>408.53028</v>
      </c>
      <c r="B74" s="3">
        <f>8920000</f>
        <v>8920000</v>
      </c>
      <c r="C74" s="1" t="s">
        <v>6</v>
      </c>
      <c r="D74" s="5">
        <f>3.24096914</f>
        <v>3.2409691399999998</v>
      </c>
      <c r="E74" s="5">
        <f>6.27499663</f>
        <v>6.2749966300000004</v>
      </c>
      <c r="F74" s="1">
        <v>7</v>
      </c>
      <c r="G74" s="1">
        <v>7</v>
      </c>
      <c r="H74" s="5">
        <f t="shared" si="1"/>
        <v>408.31290697028675</v>
      </c>
    </row>
    <row r="75" spans="1:8" x14ac:dyDescent="0.2">
      <c r="A75" s="5">
        <f>408.5984</f>
        <v>408.59840000000003</v>
      </c>
      <c r="B75" s="3">
        <f>5100000</f>
        <v>5100000</v>
      </c>
      <c r="C75" s="1" t="s">
        <v>10</v>
      </c>
      <c r="D75" s="5">
        <f>4.15435379</f>
        <v>4.15435379</v>
      </c>
      <c r="E75" s="5">
        <f>7.1878769</f>
        <v>7.1878769</v>
      </c>
      <c r="F75" s="1">
        <v>7</v>
      </c>
      <c r="G75" s="1">
        <v>5</v>
      </c>
      <c r="H75" s="5">
        <f t="shared" si="1"/>
        <v>408.38079663407046</v>
      </c>
    </row>
    <row r="76" spans="1:8" x14ac:dyDescent="0.2">
      <c r="A76" s="5">
        <f>408.70936</f>
        <v>408.70936</v>
      </c>
      <c r="B76" s="3">
        <f>1900000</f>
        <v>1900000</v>
      </c>
      <c r="C76" s="1" t="s">
        <v>12</v>
      </c>
      <c r="D76" s="5">
        <f>3.33201954</f>
        <v>3.3320195400000001</v>
      </c>
      <c r="E76" s="5">
        <f>6.36471779</f>
        <v>6.3647177900000003</v>
      </c>
      <c r="F76" s="1">
        <v>11</v>
      </c>
      <c r="G76" s="1">
        <v>9</v>
      </c>
      <c r="H76" s="5">
        <f t="shared" si="1"/>
        <v>408.4918716425754</v>
      </c>
    </row>
    <row r="77" spans="1:8" x14ac:dyDescent="0.2">
      <c r="A77" s="5">
        <f>408.85565</f>
        <v>408.85565000000003</v>
      </c>
      <c r="B77" s="3">
        <f>4200000</f>
        <v>4200000</v>
      </c>
      <c r="C77" s="1" t="s">
        <v>12</v>
      </c>
      <c r="D77" s="5">
        <f>3.63977237</f>
        <v>3.6397723700000002</v>
      </c>
      <c r="E77" s="5">
        <f>6.67138589</f>
        <v>6.6713858899999998</v>
      </c>
      <c r="F77" s="1">
        <v>5</v>
      </c>
      <c r="G77" s="1">
        <v>3</v>
      </c>
      <c r="H77" s="5">
        <f t="shared" si="1"/>
        <v>408.63803255161071</v>
      </c>
    </row>
    <row r="78" spans="1:8" x14ac:dyDescent="0.2">
      <c r="A78" s="5">
        <f>408.92166</f>
        <v>408.92165999999997</v>
      </c>
      <c r="B78" s="3">
        <f>345000</f>
        <v>345000</v>
      </c>
      <c r="C78" s="1" t="s">
        <v>6</v>
      </c>
      <c r="D78" s="5">
        <f>2.94879294</f>
        <v>2.9487929400000001</v>
      </c>
      <c r="E78" s="5">
        <f>5.97991659</f>
        <v>5.9799165900000002</v>
      </c>
      <c r="F78" s="1">
        <v>11</v>
      </c>
      <c r="G78" s="1">
        <v>11</v>
      </c>
      <c r="H78" s="5">
        <f t="shared" si="1"/>
        <v>408.70407390660654</v>
      </c>
    </row>
    <row r="79" spans="1:8" x14ac:dyDescent="0.2">
      <c r="A79" s="5">
        <f>409.00724</f>
        <v>409.00724000000002</v>
      </c>
      <c r="B79" s="3">
        <f>1000000</f>
        <v>1000000</v>
      </c>
      <c r="C79" s="1" t="s">
        <v>12</v>
      </c>
      <c r="D79" s="5">
        <f>3.3965088</f>
        <v>3.3965087999999999</v>
      </c>
      <c r="E79" s="5">
        <f>6.4269984</f>
        <v>6.4269983999999996</v>
      </c>
      <c r="F79" s="1">
        <v>7</v>
      </c>
      <c r="G79" s="1">
        <v>7</v>
      </c>
      <c r="H79" s="5">
        <f t="shared" si="1"/>
        <v>408.78958445185322</v>
      </c>
    </row>
    <row r="80" spans="1:8" x14ac:dyDescent="0.2">
      <c r="A80" s="5">
        <f>409.09533</f>
        <v>409.09532999999999</v>
      </c>
      <c r="B80" s="3">
        <f>1100000</f>
        <v>1100000</v>
      </c>
      <c r="C80" s="1" t="s">
        <v>12</v>
      </c>
      <c r="D80" s="5">
        <f>3.3682564</f>
        <v>3.3682563999999999</v>
      </c>
      <c r="E80" s="5">
        <f>6.39809335</f>
        <v>6.3980933499999999</v>
      </c>
      <c r="F80" s="1">
        <v>9</v>
      </c>
      <c r="G80" s="1">
        <v>7</v>
      </c>
      <c r="H80" s="5">
        <f t="shared" si="1"/>
        <v>408.87764084785584</v>
      </c>
    </row>
    <row r="81" spans="1:8" x14ac:dyDescent="0.2">
      <c r="A81" s="5">
        <f>409.15528</f>
        <v>409.15528</v>
      </c>
      <c r="B81" s="3">
        <f>1140000</f>
        <v>1140000</v>
      </c>
      <c r="C81" s="1" t="s">
        <v>13</v>
      </c>
      <c r="D81" s="5">
        <f>2.83159117</f>
        <v>2.8315911699999998</v>
      </c>
      <c r="E81" s="5">
        <f>5.86098438</f>
        <v>5.8609843799999997</v>
      </c>
      <c r="F81" s="1">
        <v>5</v>
      </c>
      <c r="G81" s="1">
        <v>3</v>
      </c>
      <c r="H81" s="5">
        <f t="shared" si="1"/>
        <v>408.93753250000282</v>
      </c>
    </row>
    <row r="82" spans="1:8" x14ac:dyDescent="0.2">
      <c r="A82" s="5">
        <f>409.59705</f>
        <v>409.59705000000002</v>
      </c>
      <c r="B82" s="3">
        <f>2650000</f>
        <v>2650000</v>
      </c>
      <c r="C82" s="1" t="s">
        <v>14</v>
      </c>
      <c r="D82" s="5">
        <f>2.58810592</f>
        <v>2.5881059199999998</v>
      </c>
      <c r="E82" s="5">
        <f>5.61423177</f>
        <v>5.61423177</v>
      </c>
      <c r="F82" s="1">
        <v>7</v>
      </c>
      <c r="G82" s="1">
        <v>5</v>
      </c>
      <c r="H82" s="5">
        <f t="shared" si="1"/>
        <v>409.37906937005374</v>
      </c>
    </row>
    <row r="83" spans="1:8" x14ac:dyDescent="0.2">
      <c r="A83" s="5">
        <f>409.70831</f>
        <v>409.70830999999998</v>
      </c>
      <c r="B83" s="3">
        <f>2900000</f>
        <v>2900000</v>
      </c>
      <c r="C83" s="1" t="s">
        <v>10</v>
      </c>
      <c r="D83" s="5">
        <f>3.28302483</f>
        <v>3.28302483</v>
      </c>
      <c r="E83" s="5">
        <f>6.30832866</f>
        <v>6.3083286599999999</v>
      </c>
      <c r="F83" s="1">
        <v>3</v>
      </c>
      <c r="G83" s="1">
        <v>3</v>
      </c>
      <c r="H83" s="5">
        <f t="shared" si="1"/>
        <v>409.49030374567803</v>
      </c>
    </row>
    <row r="84" spans="1:8" x14ac:dyDescent="0.2">
      <c r="A84" s="5">
        <f>409.81755</f>
        <v>409.81754999999998</v>
      </c>
      <c r="B84" s="3">
        <f>7490000</f>
        <v>7490000</v>
      </c>
      <c r="C84" s="1" t="s">
        <v>13</v>
      </c>
      <c r="D84" s="5">
        <f>3.24096914</f>
        <v>3.2409691399999998</v>
      </c>
      <c r="E84" s="5">
        <f>6.26546671</f>
        <v>6.2654667100000001</v>
      </c>
      <c r="F84" s="1">
        <v>7</v>
      </c>
      <c r="G84" s="1">
        <v>7</v>
      </c>
      <c r="H84" s="5">
        <f t="shared" si="1"/>
        <v>409.59946424082023</v>
      </c>
    </row>
    <row r="85" spans="1:8" x14ac:dyDescent="0.2">
      <c r="A85" s="5">
        <f>410.07376</f>
        <v>410.07375999999999</v>
      </c>
      <c r="B85" s="3">
        <f>29200</f>
        <v>29200</v>
      </c>
      <c r="C85" s="1" t="s">
        <v>11</v>
      </c>
      <c r="D85" s="5">
        <f>0.85899575</f>
        <v>0.85899574999999995</v>
      </c>
      <c r="E85" s="5">
        <f>3.88160368</f>
        <v>3.88160368</v>
      </c>
      <c r="F85" s="1">
        <v>11</v>
      </c>
      <c r="G85" s="1">
        <v>9</v>
      </c>
      <c r="H85" s="5">
        <f t="shared" si="1"/>
        <v>409.85553302298882</v>
      </c>
    </row>
    <row r="86" spans="1:8" x14ac:dyDescent="0.2">
      <c r="A86" s="5">
        <f>410.12608</f>
        <v>410.12608</v>
      </c>
      <c r="B86" s="3">
        <f>2600000</f>
        <v>2600000</v>
      </c>
      <c r="C86" s="1" t="s">
        <v>12</v>
      </c>
      <c r="D86" s="5">
        <f>3.3965088</f>
        <v>3.3965087999999999</v>
      </c>
      <c r="E86" s="5">
        <f>6.41873101</f>
        <v>6.4187310100000001</v>
      </c>
      <c r="F86" s="1">
        <v>7</v>
      </c>
      <c r="G86" s="1">
        <v>7</v>
      </c>
      <c r="H86" s="5">
        <f t="shared" si="1"/>
        <v>409.90784204105989</v>
      </c>
    </row>
    <row r="87" spans="1:8" x14ac:dyDescent="0.2">
      <c r="A87" s="5">
        <f>410.1685</f>
        <v>410.16849999999999</v>
      </c>
      <c r="B87" s="3">
        <f>390000</f>
        <v>390000</v>
      </c>
      <c r="C87" s="1" t="s">
        <v>10</v>
      </c>
      <c r="D87" s="5">
        <f>2.48437256</f>
        <v>2.4843725600000002</v>
      </c>
      <c r="E87" s="5">
        <f>5.50628207</f>
        <v>5.5062820700000001</v>
      </c>
      <c r="F87" s="1">
        <v>1</v>
      </c>
      <c r="G87" s="1">
        <v>3</v>
      </c>
      <c r="H87" s="5">
        <f t="shared" si="1"/>
        <v>409.95025832843783</v>
      </c>
    </row>
    <row r="88" spans="1:8" x14ac:dyDescent="0.2">
      <c r="A88" s="5">
        <f>410.494</f>
        <v>410.49400000000003</v>
      </c>
      <c r="B88" s="3">
        <f>260000</f>
        <v>260000</v>
      </c>
      <c r="C88" s="1" t="s">
        <v>12</v>
      </c>
      <c r="D88" s="5">
        <f>3.33201954</f>
        <v>3.3320195400000001</v>
      </c>
      <c r="E88" s="5">
        <f>6.35153108</f>
        <v>6.35153108</v>
      </c>
      <c r="F88" s="1">
        <v>11</v>
      </c>
      <c r="G88" s="1">
        <v>11</v>
      </c>
      <c r="H88" s="5">
        <f t="shared" si="1"/>
        <v>410.27582370811638</v>
      </c>
    </row>
    <row r="89" spans="1:8" x14ac:dyDescent="0.2">
      <c r="A89" s="5">
        <f>410.62585</f>
        <v>410.62585000000001</v>
      </c>
      <c r="B89" s="3">
        <f>330000</f>
        <v>330000</v>
      </c>
      <c r="C89" s="1" t="s">
        <v>10</v>
      </c>
      <c r="D89" s="5">
        <f>2.58810592</f>
        <v>2.5881059199999998</v>
      </c>
      <c r="E89" s="5">
        <f>5.60664989</f>
        <v>5.6066498899999999</v>
      </c>
      <c r="F89" s="1">
        <v>7</v>
      </c>
      <c r="G89" s="1">
        <v>7</v>
      </c>
      <c r="H89" s="5">
        <f t="shared" si="1"/>
        <v>410.40733432472177</v>
      </c>
    </row>
    <row r="90" spans="1:8" x14ac:dyDescent="0.2">
      <c r="A90" s="5">
        <f>410.64226</f>
        <v>410.64226000000002</v>
      </c>
      <c r="B90" s="3">
        <f>2520000</f>
        <v>2520000</v>
      </c>
      <c r="C90" s="1" t="s">
        <v>6</v>
      </c>
      <c r="D90" s="5">
        <f>3.3965088</f>
        <v>3.3965087999999999</v>
      </c>
      <c r="E90" s="5">
        <f>6.41493251</f>
        <v>6.4149325099999999</v>
      </c>
      <c r="F90" s="1">
        <v>7</v>
      </c>
      <c r="G90" s="1">
        <v>5</v>
      </c>
      <c r="H90" s="5">
        <f t="shared" si="1"/>
        <v>410.4236857686434</v>
      </c>
    </row>
    <row r="91" spans="1:8" x14ac:dyDescent="0.2">
      <c r="A91" s="5">
        <f>410.74881</f>
        <v>410.74880999999999</v>
      </c>
      <c r="B91" s="3">
        <f>17400000</f>
        <v>17400000</v>
      </c>
      <c r="C91" s="1" t="s">
        <v>13</v>
      </c>
      <c r="D91" s="5">
        <f>2.83159117</f>
        <v>2.8315911699999998</v>
      </c>
      <c r="E91" s="5">
        <f>5.84923154</f>
        <v>5.8492315399999999</v>
      </c>
      <c r="F91" s="1">
        <v>5</v>
      </c>
      <c r="G91" s="1">
        <v>3</v>
      </c>
      <c r="H91" s="5">
        <f t="shared" si="1"/>
        <v>410.53022639330038</v>
      </c>
    </row>
    <row r="92" spans="1:8" x14ac:dyDescent="0.2">
      <c r="A92" s="5">
        <f>410.8133</f>
        <v>410.81330000000003</v>
      </c>
      <c r="B92" s="3">
        <f>350000</f>
        <v>350000</v>
      </c>
      <c r="C92" s="1" t="s">
        <v>10</v>
      </c>
      <c r="D92" s="5">
        <f>3.24096914</f>
        <v>3.2409691399999998</v>
      </c>
      <c r="E92" s="5">
        <f>6.25813812</f>
        <v>6.2581381199999999</v>
      </c>
      <c r="F92" s="1">
        <v>7</v>
      </c>
      <c r="G92" s="1">
        <v>9</v>
      </c>
      <c r="H92" s="5">
        <f t="shared" si="1"/>
        <v>410.5943659375892</v>
      </c>
    </row>
    <row r="93" spans="1:8" x14ac:dyDescent="0.2">
      <c r="A93" s="5">
        <f>410.90558</f>
        <v>410.90557999999999</v>
      </c>
      <c r="B93" s="3">
        <f>3620000</f>
        <v>3620000</v>
      </c>
      <c r="C93" s="1" t="s">
        <v>5</v>
      </c>
      <c r="D93" s="5">
        <f>3.29183986</f>
        <v>3.2918398600000001</v>
      </c>
      <c r="E93" s="5">
        <f>6.30832866</f>
        <v>6.3083286599999999</v>
      </c>
      <c r="F93" s="1">
        <v>1</v>
      </c>
      <c r="G93" s="1">
        <v>3</v>
      </c>
      <c r="H93" s="5">
        <f t="shared" si="1"/>
        <v>410.68694976413082</v>
      </c>
    </row>
    <row r="94" spans="1:8" x14ac:dyDescent="0.2">
      <c r="A94" s="5">
        <f>410.98015</f>
        <v>410.98014999999998</v>
      </c>
      <c r="B94" s="3">
        <f>15100000</f>
        <v>15100000</v>
      </c>
      <c r="C94" s="1" t="s">
        <v>13</v>
      </c>
      <c r="D94" s="5">
        <f>2.84504259</f>
        <v>2.8450425899999998</v>
      </c>
      <c r="E94" s="5">
        <f>5.86098438</f>
        <v>5.8609843799999997</v>
      </c>
      <c r="F94" s="1">
        <v>3</v>
      </c>
      <c r="G94" s="1">
        <v>3</v>
      </c>
      <c r="H94" s="5">
        <f t="shared" si="1"/>
        <v>410.76143723240193</v>
      </c>
    </row>
    <row r="95" spans="1:8" x14ac:dyDescent="0.2">
      <c r="A95" s="5">
        <f>411.23182</f>
        <v>411.23182000000003</v>
      </c>
      <c r="B95" s="3">
        <f>1500000</f>
        <v>1500000</v>
      </c>
      <c r="C95" s="1" t="s">
        <v>12</v>
      </c>
      <c r="D95" s="5">
        <f>3.3965088</f>
        <v>3.3965087999999999</v>
      </c>
      <c r="E95" s="5">
        <f>6.41060472</f>
        <v>6.4106047200000003</v>
      </c>
      <c r="F95" s="1">
        <v>7</v>
      </c>
      <c r="G95" s="1">
        <v>5</v>
      </c>
      <c r="H95" s="5">
        <f t="shared" si="1"/>
        <v>411.01299266868148</v>
      </c>
    </row>
    <row r="96" spans="1:8" x14ac:dyDescent="0.2">
      <c r="A96" s="5">
        <f>411.29586</f>
        <v>411.29586</v>
      </c>
      <c r="B96" s="3">
        <f>11000000</f>
        <v>11000000</v>
      </c>
      <c r="C96" s="1" t="s">
        <v>12</v>
      </c>
      <c r="D96" s="5">
        <f>4.17769679</f>
        <v>4.1776967899999997</v>
      </c>
      <c r="E96" s="5">
        <f>7.19132379</f>
        <v>7.1913237900000002</v>
      </c>
      <c r="F96" s="1">
        <v>11</v>
      </c>
      <c r="G96" s="1">
        <v>13</v>
      </c>
      <c r="H96" s="5">
        <f t="shared" si="1"/>
        <v>411.07694624107853</v>
      </c>
    </row>
    <row r="97" spans="1:8" x14ac:dyDescent="0.2">
      <c r="A97" s="5">
        <f>411.44447</f>
        <v>411.44447000000002</v>
      </c>
      <c r="B97" s="3">
        <f>3920000</f>
        <v>3920000</v>
      </c>
      <c r="C97" s="1" t="s">
        <v>6</v>
      </c>
      <c r="D97" s="5">
        <f>2.83159117</f>
        <v>2.8315911699999998</v>
      </c>
      <c r="E97" s="5">
        <f>5.84412959</f>
        <v>5.8441295899999997</v>
      </c>
      <c r="F97" s="1">
        <v>5</v>
      </c>
      <c r="G97" s="1">
        <v>5</v>
      </c>
      <c r="H97" s="5">
        <f t="shared" si="1"/>
        <v>411.22548879216049</v>
      </c>
    </row>
    <row r="98" spans="1:8" x14ac:dyDescent="0.2">
      <c r="A98" s="5">
        <f>411.49374</f>
        <v>411.49374</v>
      </c>
      <c r="B98" s="3">
        <f>1570000</f>
        <v>1570000</v>
      </c>
      <c r="C98" s="1" t="s">
        <v>6</v>
      </c>
      <c r="D98" s="5">
        <f>3.3682564</f>
        <v>3.3682563999999999</v>
      </c>
      <c r="E98" s="5">
        <f>6.3804339</f>
        <v>6.3804338999999999</v>
      </c>
      <c r="F98" s="1">
        <v>9</v>
      </c>
      <c r="G98" s="1">
        <v>9</v>
      </c>
      <c r="H98" s="5">
        <f t="shared" si="1"/>
        <v>411.2747619519975</v>
      </c>
    </row>
    <row r="99" spans="1:8" x14ac:dyDescent="0.2">
      <c r="A99" s="5">
        <f>411.85447</f>
        <v>411.85446999999999</v>
      </c>
      <c r="B99" s="3">
        <f>49600000</f>
        <v>49600000</v>
      </c>
      <c r="C99" s="1" t="s">
        <v>13</v>
      </c>
      <c r="D99" s="5">
        <f>3.5732189</f>
        <v>3.5732189000000001</v>
      </c>
      <c r="E99" s="5">
        <f>6.58275864</f>
        <v>6.5827586399999998</v>
      </c>
      <c r="F99" s="1">
        <v>11</v>
      </c>
      <c r="G99" s="1">
        <v>13</v>
      </c>
      <c r="H99" s="5">
        <f t="shared" si="1"/>
        <v>411.63523039893897</v>
      </c>
    </row>
    <row r="100" spans="1:8" x14ac:dyDescent="0.2">
      <c r="A100" s="5">
        <f>411.88865</f>
        <v>411.88864999999998</v>
      </c>
      <c r="B100" s="3">
        <f>1900000</f>
        <v>1900000</v>
      </c>
      <c r="C100" s="1" t="s">
        <v>10</v>
      </c>
      <c r="D100" s="5">
        <f>3.2657061</f>
        <v>3.2657061000000001</v>
      </c>
      <c r="E100" s="5">
        <f>6.27499663</f>
        <v>6.2749966300000004</v>
      </c>
      <c r="F100" s="1">
        <v>5</v>
      </c>
      <c r="G100" s="1">
        <v>7</v>
      </c>
      <c r="H100" s="5">
        <f t="shared" si="1"/>
        <v>411.66931936932747</v>
      </c>
    </row>
    <row r="101" spans="1:8" x14ac:dyDescent="0.2">
      <c r="A101" s="5">
        <f>412.02062</f>
        <v>412.02062000000001</v>
      </c>
      <c r="B101" s="3">
        <f>1930000</f>
        <v>1930000</v>
      </c>
      <c r="C101" s="1" t="s">
        <v>13</v>
      </c>
      <c r="D101" s="5">
        <f>2.99035244</f>
        <v>2.9903524400000001</v>
      </c>
      <c r="E101" s="5">
        <f>5.99867825</f>
        <v>5.9986782500000002</v>
      </c>
      <c r="F101" s="1">
        <v>9</v>
      </c>
      <c r="G101" s="1">
        <v>11</v>
      </c>
      <c r="H101" s="5">
        <f t="shared" si="1"/>
        <v>411.80133486594087</v>
      </c>
    </row>
    <row r="102" spans="1:8" x14ac:dyDescent="0.2">
      <c r="A102" s="5">
        <f>412.18024</f>
        <v>412.18024000000003</v>
      </c>
      <c r="B102" s="3">
        <f>1990000</f>
        <v>1990000</v>
      </c>
      <c r="C102" s="1" t="s">
        <v>13</v>
      </c>
      <c r="D102" s="5">
        <f>2.83159117</f>
        <v>2.8315911699999998</v>
      </c>
      <c r="E102" s="5">
        <f>5.83875215</f>
        <v>5.8387521500000004</v>
      </c>
      <c r="F102" s="1">
        <v>5</v>
      </c>
      <c r="G102" s="1">
        <v>7</v>
      </c>
      <c r="H102" s="5">
        <f t="shared" si="1"/>
        <v>411.96084696126337</v>
      </c>
    </row>
    <row r="103" spans="1:8" x14ac:dyDescent="0.2">
      <c r="A103" s="5">
        <f>412.25152</f>
        <v>412.25152000000003</v>
      </c>
      <c r="B103" s="3">
        <f>3230000</f>
        <v>3230000</v>
      </c>
      <c r="C103" s="1" t="s">
        <v>13</v>
      </c>
      <c r="D103" s="5">
        <f>2.84504259</f>
        <v>2.8450425899999998</v>
      </c>
      <c r="E103" s="5">
        <f>5.85168345</f>
        <v>5.8516834500000003</v>
      </c>
      <c r="F103" s="1">
        <v>3</v>
      </c>
      <c r="G103" s="1">
        <v>5</v>
      </c>
      <c r="H103" s="5">
        <f t="shared" si="1"/>
        <v>412.03211223227464</v>
      </c>
    </row>
    <row r="104" spans="1:8" x14ac:dyDescent="0.2">
      <c r="A104" s="5">
        <f>412.3728</f>
        <v>412.37279999999998</v>
      </c>
      <c r="B104" s="3">
        <f>604000</f>
        <v>604000</v>
      </c>
      <c r="C104" s="1" t="s">
        <v>13</v>
      </c>
      <c r="D104" s="5">
        <f>2.99035244</f>
        <v>2.9903524400000001</v>
      </c>
      <c r="E104" s="5">
        <f>5.99610917</f>
        <v>5.9961091700000004</v>
      </c>
      <c r="F104" s="1">
        <v>9</v>
      </c>
      <c r="G104" s="1">
        <v>9</v>
      </c>
      <c r="H104" s="5">
        <f t="shared" si="1"/>
        <v>412.15330964913551</v>
      </c>
    </row>
    <row r="105" spans="1:8" x14ac:dyDescent="0.2">
      <c r="A105" s="5">
        <f>412.5617</f>
        <v>412.56169999999997</v>
      </c>
      <c r="B105" s="3">
        <f>9900000</f>
        <v>9900000</v>
      </c>
      <c r="C105" s="1" t="s">
        <v>10</v>
      </c>
      <c r="D105" s="5">
        <f>4.22036211</f>
        <v>4.2203621099999999</v>
      </c>
      <c r="E105" s="5">
        <f>7.2247405</f>
        <v>7.2247405000000002</v>
      </c>
      <c r="F105" s="1">
        <v>9</v>
      </c>
      <c r="G105" s="1">
        <v>11</v>
      </c>
      <c r="H105" s="5">
        <f t="shared" si="1"/>
        <v>412.34239614859661</v>
      </c>
    </row>
    <row r="106" spans="1:8" x14ac:dyDescent="0.2">
      <c r="A106" s="5">
        <f>412.58801</f>
        <v>412.58801</v>
      </c>
      <c r="B106" s="3">
        <f>796000</f>
        <v>796000</v>
      </c>
      <c r="C106" s="1" t="s">
        <v>5</v>
      </c>
      <c r="D106" s="5">
        <f>2.84504259</f>
        <v>2.8450425899999998</v>
      </c>
      <c r="E106" s="5">
        <f>5.84923154</f>
        <v>5.8492315399999999</v>
      </c>
      <c r="F106" s="1">
        <v>3</v>
      </c>
      <c r="G106" s="1">
        <v>3</v>
      </c>
      <c r="H106" s="5">
        <f t="shared" si="1"/>
        <v>412.36839788977414</v>
      </c>
    </row>
    <row r="107" spans="1:8" x14ac:dyDescent="0.2">
      <c r="A107" s="5">
        <f>412.61824</f>
        <v>412.61824000000001</v>
      </c>
      <c r="B107" s="3">
        <f>4200000</f>
        <v>4200000</v>
      </c>
      <c r="C107" s="1" t="s">
        <v>12</v>
      </c>
      <c r="D107" s="5">
        <f>3.33201954</f>
        <v>3.3320195400000001</v>
      </c>
      <c r="E107" s="5">
        <f>6.33598817</f>
        <v>6.3359881700000003</v>
      </c>
      <c r="F107" s="1">
        <v>11</v>
      </c>
      <c r="G107" s="1">
        <v>11</v>
      </c>
      <c r="H107" s="5">
        <f t="shared" si="1"/>
        <v>412.39864221540256</v>
      </c>
    </row>
    <row r="108" spans="1:8" x14ac:dyDescent="0.2">
      <c r="A108" s="5">
        <f>412.6854</f>
        <v>412.68540000000002</v>
      </c>
      <c r="B108" s="3">
        <f>1300000</f>
        <v>1300000</v>
      </c>
      <c r="C108" s="1" t="s">
        <v>12</v>
      </c>
      <c r="D108" s="5">
        <f>2.84504259</f>
        <v>2.8450425899999998</v>
      </c>
      <c r="E108" s="5">
        <f>5.84852446</f>
        <v>5.8485244600000001</v>
      </c>
      <c r="F108" s="1">
        <v>3</v>
      </c>
      <c r="G108" s="1">
        <v>1</v>
      </c>
      <c r="H108" s="5">
        <f t="shared" si="1"/>
        <v>412.46547769894244</v>
      </c>
    </row>
    <row r="109" spans="1:8" x14ac:dyDescent="0.2">
      <c r="A109" s="5">
        <f>412.76075</f>
        <v>412.76074999999997</v>
      </c>
      <c r="B109" s="3">
        <f>14300000</f>
        <v>14300000</v>
      </c>
      <c r="C109" s="1" t="s">
        <v>13</v>
      </c>
      <c r="D109" s="5">
        <f>2.85805275</f>
        <v>2.8580527500000001</v>
      </c>
      <c r="E109" s="5">
        <f>5.86098438</f>
        <v>5.8609843799999997</v>
      </c>
      <c r="F109" s="1">
        <v>1</v>
      </c>
      <c r="G109" s="1">
        <v>3</v>
      </c>
      <c r="H109" s="5">
        <f t="shared" si="1"/>
        <v>412.54105551169778</v>
      </c>
    </row>
    <row r="110" spans="1:8" x14ac:dyDescent="0.2">
      <c r="A110" s="5">
        <f>412.9461</f>
        <v>412.9461</v>
      </c>
      <c r="B110" s="3">
        <f>650000</f>
        <v>650000</v>
      </c>
      <c r="C110" s="1" t="s">
        <v>10</v>
      </c>
      <c r="D110" s="5">
        <f>3.3965088</f>
        <v>3.3965087999999999</v>
      </c>
      <c r="E110" s="5">
        <f>6.39809335</f>
        <v>6.3980933499999999</v>
      </c>
      <c r="F110" s="1">
        <v>7</v>
      </c>
      <c r="G110" s="1">
        <v>7</v>
      </c>
      <c r="H110" s="5">
        <f t="shared" si="1"/>
        <v>412.7261996566657</v>
      </c>
    </row>
    <row r="111" spans="1:8" x14ac:dyDescent="0.2">
      <c r="A111" s="5">
        <f>413.20579</f>
        <v>413.20578999999998</v>
      </c>
      <c r="B111" s="3">
        <f>11800000</f>
        <v>11800000</v>
      </c>
      <c r="C111" s="1" t="s">
        <v>14</v>
      </c>
      <c r="D111" s="5">
        <f>1.60789577</f>
        <v>1.6078957700000001</v>
      </c>
      <c r="E111" s="5">
        <f>4.60759327</f>
        <v>4.6075932699999997</v>
      </c>
      <c r="F111" s="1">
        <v>5</v>
      </c>
      <c r="G111" s="1">
        <v>7</v>
      </c>
      <c r="H111" s="5">
        <f t="shared" si="1"/>
        <v>412.98583749516843</v>
      </c>
    </row>
    <row r="112" spans="1:8" x14ac:dyDescent="0.2">
      <c r="A112" s="5">
        <f>413.28989</f>
        <v>413.28989000000001</v>
      </c>
      <c r="B112" s="3">
        <f>7700000</f>
        <v>7700000</v>
      </c>
      <c r="C112" s="1" t="s">
        <v>13</v>
      </c>
      <c r="D112" s="5">
        <f>2.84504259</f>
        <v>2.8450425899999998</v>
      </c>
      <c r="E112" s="5">
        <f>5.84412959</f>
        <v>5.8441295899999997</v>
      </c>
      <c r="F112" s="1">
        <v>3</v>
      </c>
      <c r="G112" s="1">
        <v>5</v>
      </c>
      <c r="H112" s="5">
        <f t="shared" si="1"/>
        <v>413.06990569785506</v>
      </c>
    </row>
    <row r="113" spans="1:8" x14ac:dyDescent="0.2">
      <c r="A113" s="5">
        <f>413.38554</f>
        <v>413.38553999999999</v>
      </c>
      <c r="B113" s="3">
        <f>2120000</f>
        <v>2120000</v>
      </c>
      <c r="C113" s="1" t="s">
        <v>6</v>
      </c>
      <c r="D113" s="5">
        <f>3.3682564</f>
        <v>3.3682563999999999</v>
      </c>
      <c r="E113" s="5">
        <f>6.36664959</f>
        <v>6.3666495899999997</v>
      </c>
      <c r="F113" s="1">
        <v>9</v>
      </c>
      <c r="G113" s="1">
        <v>9</v>
      </c>
      <c r="H113" s="5">
        <f t="shared" si="1"/>
        <v>413.1654875689145</v>
      </c>
    </row>
    <row r="114" spans="1:8" x14ac:dyDescent="0.2">
      <c r="A114" s="5">
        <f>413.4336</f>
        <v>413.43360000000001</v>
      </c>
      <c r="B114" s="3">
        <f>1060</f>
        <v>1060</v>
      </c>
      <c r="C114" s="1" t="s">
        <v>6</v>
      </c>
      <c r="D114" s="5">
        <f>0</f>
        <v>0</v>
      </c>
      <c r="E114" s="5">
        <f>2.99804479</f>
        <v>2.9980447899999998</v>
      </c>
      <c r="F114" s="1">
        <v>9</v>
      </c>
      <c r="G114" s="1">
        <v>7</v>
      </c>
      <c r="H114" s="5">
        <f t="shared" si="1"/>
        <v>413.21350114641319</v>
      </c>
    </row>
    <row r="115" spans="1:8" x14ac:dyDescent="0.2">
      <c r="A115" s="5">
        <f>413.442</f>
        <v>413.44200000000001</v>
      </c>
      <c r="B115" s="3">
        <f>2620000</f>
        <v>2620000</v>
      </c>
      <c r="C115" s="1" t="s">
        <v>6</v>
      </c>
      <c r="D115" s="5">
        <f>3.01725044</f>
        <v>3.0172504400000002</v>
      </c>
      <c r="E115" s="5">
        <f>6.01523448</f>
        <v>6.0152344800000002</v>
      </c>
      <c r="F115" s="1">
        <v>5</v>
      </c>
      <c r="G115" s="1">
        <v>3</v>
      </c>
      <c r="H115" s="5">
        <f t="shared" si="1"/>
        <v>413.22187434649015</v>
      </c>
    </row>
    <row r="116" spans="1:8" x14ac:dyDescent="0.2">
      <c r="A116" s="5">
        <f>413.46773</f>
        <v>413.46773000000002</v>
      </c>
      <c r="B116" s="3">
        <f>12500000</f>
        <v>12500000</v>
      </c>
      <c r="C116" s="1" t="s">
        <v>6</v>
      </c>
      <c r="D116" s="5">
        <f>2.83159117</f>
        <v>2.8315911699999998</v>
      </c>
      <c r="E116" s="5">
        <f>5.82938837</f>
        <v>5.8293883700000002</v>
      </c>
      <c r="F116" s="1">
        <v>5</v>
      </c>
      <c r="G116" s="1">
        <v>7</v>
      </c>
      <c r="H116" s="5">
        <f t="shared" si="1"/>
        <v>413.24762871539906</v>
      </c>
    </row>
    <row r="117" spans="1:8" x14ac:dyDescent="0.2">
      <c r="A117" s="5">
        <f>413.65211</f>
        <v>413.65210999999999</v>
      </c>
      <c r="B117" s="3">
        <f>1320000</f>
        <v>1320000</v>
      </c>
      <c r="C117" s="1" t="s">
        <v>5</v>
      </c>
      <c r="D117" s="5">
        <f>3.3682564</f>
        <v>3.3682563999999999</v>
      </c>
      <c r="E117" s="5">
        <f>6.36471779</f>
        <v>6.3647177900000003</v>
      </c>
      <c r="F117" s="1">
        <v>9</v>
      </c>
      <c r="G117" s="1">
        <v>9</v>
      </c>
      <c r="H117" s="5">
        <f t="shared" si="1"/>
        <v>413.43185278608337</v>
      </c>
    </row>
    <row r="118" spans="1:8" x14ac:dyDescent="0.2">
      <c r="A118" s="5">
        <f>413.69974</f>
        <v>413.69974000000002</v>
      </c>
      <c r="B118" s="3">
        <f>27500000</f>
        <v>27500000</v>
      </c>
      <c r="C118" s="1" t="s">
        <v>13</v>
      </c>
      <c r="D118" s="5">
        <f>3.41489715</f>
        <v>3.4148971499999998</v>
      </c>
      <c r="E118" s="5">
        <f>6.411013</f>
        <v>6.4110129999999996</v>
      </c>
      <c r="F118" s="1">
        <v>3</v>
      </c>
      <c r="G118" s="1">
        <v>5</v>
      </c>
      <c r="H118" s="5">
        <f t="shared" si="1"/>
        <v>413.47953360003186</v>
      </c>
    </row>
    <row r="119" spans="1:8" x14ac:dyDescent="0.2">
      <c r="A119" s="5">
        <f>413.9927</f>
        <v>413.99270000000001</v>
      </c>
      <c r="B119" s="3">
        <f>18300</f>
        <v>18300</v>
      </c>
      <c r="C119" s="1" t="s">
        <v>11</v>
      </c>
      <c r="D119" s="5">
        <f>0.99011115</f>
        <v>0.99011115000000005</v>
      </c>
      <c r="E119" s="5">
        <f>3.98410712</f>
        <v>3.98410712</v>
      </c>
      <c r="F119" s="1">
        <v>5</v>
      </c>
      <c r="G119" s="1">
        <v>5</v>
      </c>
      <c r="H119" s="5">
        <f t="shared" si="1"/>
        <v>413.77229518103297</v>
      </c>
    </row>
    <row r="120" spans="1:8" x14ac:dyDescent="0.2">
      <c r="A120" s="5">
        <f>414.1863</f>
        <v>414.18630000000002</v>
      </c>
      <c r="B120" s="3">
        <f>657000</f>
        <v>657000</v>
      </c>
      <c r="C120" s="1" t="s">
        <v>13</v>
      </c>
      <c r="D120" s="5">
        <f>3.01762252</f>
        <v>3.0176225200000002</v>
      </c>
      <c r="E120" s="5">
        <f>6.01021907</f>
        <v>6.0102190699999998</v>
      </c>
      <c r="F120" s="1">
        <v>7</v>
      </c>
      <c r="G120" s="1">
        <v>7</v>
      </c>
      <c r="H120" s="5">
        <f t="shared" si="1"/>
        <v>413.9657864237206</v>
      </c>
    </row>
    <row r="121" spans="1:8" x14ac:dyDescent="0.2">
      <c r="A121" s="5">
        <f>414.2589</f>
        <v>414.25889999999998</v>
      </c>
      <c r="B121" s="3">
        <f>7500000</f>
        <v>7500000</v>
      </c>
      <c r="C121" s="1" t="s">
        <v>10</v>
      </c>
      <c r="D121" s="5">
        <f>4.30127816</f>
        <v>4.3012781599999999</v>
      </c>
      <c r="E121" s="5">
        <f>7.2933513</f>
        <v>7.2933513000000003</v>
      </c>
      <c r="F121" s="1">
        <v>3</v>
      </c>
      <c r="G121" s="1">
        <v>5</v>
      </c>
      <c r="H121" s="5">
        <f t="shared" si="1"/>
        <v>414.03820237818877</v>
      </c>
    </row>
    <row r="122" spans="1:8" x14ac:dyDescent="0.2">
      <c r="A122" s="5">
        <f>414.34143</f>
        <v>414.34143</v>
      </c>
      <c r="B122" s="3">
        <f>27000000</f>
        <v>27000000</v>
      </c>
      <c r="C122" s="1" t="s">
        <v>13</v>
      </c>
      <c r="D122" s="5">
        <f>3.0468689</f>
        <v>3.0468689000000002</v>
      </c>
      <c r="E122" s="5">
        <f>6.03834476</f>
        <v>6.0383447600000002</v>
      </c>
      <c r="F122" s="1">
        <v>9</v>
      </c>
      <c r="G122" s="1">
        <v>9</v>
      </c>
      <c r="H122" s="5">
        <f t="shared" si="1"/>
        <v>414.12086951277053</v>
      </c>
    </row>
    <row r="123" spans="1:8" x14ac:dyDescent="0.2">
      <c r="A123" s="5">
        <f>414.38678</f>
        <v>414.38677999999999</v>
      </c>
      <c r="B123" s="3">
        <f>13300000</f>
        <v>13300000</v>
      </c>
      <c r="C123" s="1" t="s">
        <v>14</v>
      </c>
      <c r="D123" s="5">
        <f>1.55735733</f>
        <v>1.5573573300000001</v>
      </c>
      <c r="E123" s="5">
        <f>4.54850612</f>
        <v>4.5485061199999999</v>
      </c>
      <c r="F123" s="1">
        <v>7</v>
      </c>
      <c r="G123" s="1">
        <v>9</v>
      </c>
      <c r="H123" s="5">
        <f t="shared" si="1"/>
        <v>414.16615195182692</v>
      </c>
    </row>
    <row r="124" spans="1:8" x14ac:dyDescent="0.2">
      <c r="A124" s="5">
        <f>414.5199</f>
        <v>414.51990000000001</v>
      </c>
      <c r="B124" s="3">
        <f>78000</f>
        <v>78000</v>
      </c>
      <c r="C124" s="1" t="s">
        <v>10</v>
      </c>
      <c r="D124" s="5">
        <f>2.69240763</f>
        <v>2.6924076299999999</v>
      </c>
      <c r="E124" s="5">
        <f>5.68259542</f>
        <v>5.6825954200000002</v>
      </c>
      <c r="F124" s="1">
        <v>11</v>
      </c>
      <c r="G124" s="1">
        <v>9</v>
      </c>
      <c r="H124" s="5">
        <f t="shared" si="1"/>
        <v>414.29925853240906</v>
      </c>
    </row>
    <row r="125" spans="1:8" x14ac:dyDescent="0.2">
      <c r="A125" s="5">
        <f>414.60639</f>
        <v>414.60638999999998</v>
      </c>
      <c r="B125" s="3">
        <f>378000</f>
        <v>378000</v>
      </c>
      <c r="C125" s="1" t="s">
        <v>6</v>
      </c>
      <c r="D125" s="5">
        <f>2.99035244</f>
        <v>2.9903524400000001</v>
      </c>
      <c r="E125" s="5">
        <f>5.97991659</f>
        <v>5.9799165900000002</v>
      </c>
      <c r="F125" s="1">
        <v>9</v>
      </c>
      <c r="G125" s="1">
        <v>11</v>
      </c>
      <c r="H125" s="5">
        <f t="shared" si="1"/>
        <v>414.38568370230922</v>
      </c>
    </row>
    <row r="126" spans="1:8" x14ac:dyDescent="0.2">
      <c r="A126" s="5">
        <f>414.76687</f>
        <v>414.76686999999998</v>
      </c>
      <c r="B126" s="3">
        <f>436000</f>
        <v>436000</v>
      </c>
      <c r="C126" s="1" t="s">
        <v>11</v>
      </c>
      <c r="D126" s="5">
        <f>1.48486439</f>
        <v>1.48486439</v>
      </c>
      <c r="E126" s="5">
        <f>4.47327202</f>
        <v>4.4732720199999996</v>
      </c>
      <c r="F126" s="1">
        <v>9</v>
      </c>
      <c r="G126" s="1">
        <v>7</v>
      </c>
      <c r="H126" s="5">
        <f t="shared" si="1"/>
        <v>414.54605182816488</v>
      </c>
    </row>
    <row r="127" spans="1:8" x14ac:dyDescent="0.2">
      <c r="A127" s="5">
        <f>414.93648</f>
        <v>414.93648000000002</v>
      </c>
      <c r="B127" s="3">
        <f>4230000</f>
        <v>4230000</v>
      </c>
      <c r="C127" s="1" t="s">
        <v>5</v>
      </c>
      <c r="D127" s="5">
        <f>3.33201954</f>
        <v>3.3320195400000001</v>
      </c>
      <c r="E127" s="5">
        <f>6.31920567</f>
        <v>6.3192056699999997</v>
      </c>
      <c r="F127" s="1">
        <v>11</v>
      </c>
      <c r="G127" s="1">
        <v>13</v>
      </c>
      <c r="H127" s="5">
        <f t="shared" si="1"/>
        <v>414.71556520305052</v>
      </c>
    </row>
    <row r="128" spans="1:8" x14ac:dyDescent="0.2">
      <c r="A128" s="5">
        <f>415.02488</f>
        <v>415.02488</v>
      </c>
      <c r="B128" s="3">
        <f>7700000</f>
        <v>7700000</v>
      </c>
      <c r="C128" s="1" t="s">
        <v>12</v>
      </c>
      <c r="D128" s="5">
        <f>3.43018998</f>
        <v>3.4301899800000002</v>
      </c>
      <c r="E128" s="5">
        <f>6.41673983</f>
        <v>6.41673983</v>
      </c>
      <c r="F128" s="1">
        <v>3</v>
      </c>
      <c r="G128" s="1">
        <v>3</v>
      </c>
      <c r="H128" s="5">
        <f t="shared" si="1"/>
        <v>414.80391973690411</v>
      </c>
    </row>
    <row r="129" spans="1:8" x14ac:dyDescent="0.2">
      <c r="A129" s="5">
        <f>415.21689</f>
        <v>415.21688999999998</v>
      </c>
      <c r="B129" s="3">
        <f>32400</f>
        <v>32400</v>
      </c>
      <c r="C129" s="1" t="s">
        <v>11</v>
      </c>
      <c r="D129" s="5">
        <f>0.95815732</f>
        <v>0.95815731999999998</v>
      </c>
      <c r="E129" s="5">
        <f>3.94332623</f>
        <v>3.9433262299999998</v>
      </c>
      <c r="F129" s="1">
        <v>7</v>
      </c>
      <c r="G129" s="1">
        <v>7</v>
      </c>
      <c r="H129" s="5">
        <f t="shared" si="1"/>
        <v>414.99580814998615</v>
      </c>
    </row>
    <row r="130" spans="1:8" x14ac:dyDescent="0.2">
      <c r="A130" s="5">
        <f>415.38994</f>
        <v>415.38994000000002</v>
      </c>
      <c r="B130" s="3">
        <f>20500000</f>
        <v>20500000</v>
      </c>
      <c r="C130" s="1" t="s">
        <v>14</v>
      </c>
      <c r="D130" s="5">
        <f>3.3965088</f>
        <v>3.3965087999999999</v>
      </c>
      <c r="E130" s="5">
        <f>6.3804339</f>
        <v>6.3804338999999999</v>
      </c>
      <c r="F130" s="1">
        <v>7</v>
      </c>
      <c r="G130" s="1">
        <v>9</v>
      </c>
      <c r="H130" s="5">
        <f t="shared" si="1"/>
        <v>415.16879370385772</v>
      </c>
    </row>
    <row r="131" spans="1:8" x14ac:dyDescent="0.2">
      <c r="A131" s="5">
        <f>415.44984</f>
        <v>415.44983999999999</v>
      </c>
      <c r="B131" s="3">
        <f>26400000</f>
        <v>26400000</v>
      </c>
      <c r="C131" s="1" t="s">
        <v>13</v>
      </c>
      <c r="D131" s="5">
        <f>2.83159117</f>
        <v>2.8315911699999998</v>
      </c>
      <c r="E131" s="5">
        <f>5.81508605</f>
        <v>5.8150860499999997</v>
      </c>
      <c r="F131" s="1">
        <v>5</v>
      </c>
      <c r="G131" s="1">
        <v>3</v>
      </c>
      <c r="H131" s="5">
        <f t="shared" ref="H131:H194" si="2">$J$2*$J$1/((E131-D131)*$J$3)*1000000000</f>
        <v>415.22866104923997</v>
      </c>
    </row>
    <row r="132" spans="1:8" x14ac:dyDescent="0.2">
      <c r="A132" s="5">
        <f>415.48052</f>
        <v>415.48052000000001</v>
      </c>
      <c r="B132" s="3">
        <f>14000000</f>
        <v>14000000</v>
      </c>
      <c r="C132" s="1" t="s">
        <v>13</v>
      </c>
      <c r="D132" s="5">
        <f>3.3682564</f>
        <v>3.3682563999999999</v>
      </c>
      <c r="E132" s="5">
        <f>6.35153108</f>
        <v>6.35153108</v>
      </c>
      <c r="F132" s="1">
        <v>9</v>
      </c>
      <c r="G132" s="1">
        <v>11</v>
      </c>
      <c r="H132" s="5">
        <f t="shared" si="2"/>
        <v>415.25930970247197</v>
      </c>
    </row>
    <row r="133" spans="1:8" x14ac:dyDescent="0.2">
      <c r="A133" s="5">
        <f>415.66711</f>
        <v>415.66710999999998</v>
      </c>
      <c r="B133" s="3">
        <f>527000</f>
        <v>527000</v>
      </c>
      <c r="C133" s="1" t="s">
        <v>13</v>
      </c>
      <c r="D133" s="5">
        <f>2.94879294</f>
        <v>2.9487929400000001</v>
      </c>
      <c r="E133" s="5">
        <f>5.93072834</f>
        <v>5.9307283399999999</v>
      </c>
      <c r="F133" s="1">
        <v>11</v>
      </c>
      <c r="G133" s="1">
        <v>11</v>
      </c>
      <c r="H133" s="5">
        <f t="shared" si="2"/>
        <v>415.44581558328298</v>
      </c>
    </row>
    <row r="134" spans="1:8" x14ac:dyDescent="0.2">
      <c r="A134" s="5">
        <f>415.67985</f>
        <v>415.67984999999999</v>
      </c>
      <c r="B134" s="3">
        <f>12000000</f>
        <v>12000000</v>
      </c>
      <c r="C134" s="1" t="s">
        <v>13</v>
      </c>
      <c r="D134" s="5">
        <f>2.83159117</f>
        <v>2.8315911699999998</v>
      </c>
      <c r="E134" s="5">
        <f>5.8134352</f>
        <v>5.8134351999999998</v>
      </c>
      <c r="F134" s="1">
        <v>5</v>
      </c>
      <c r="G134" s="1">
        <v>5</v>
      </c>
      <c r="H134" s="5">
        <f t="shared" si="2"/>
        <v>415.45854572067032</v>
      </c>
    </row>
    <row r="135" spans="1:8" x14ac:dyDescent="0.2">
      <c r="A135" s="5">
        <f>415.77798</f>
        <v>415.77798000000001</v>
      </c>
      <c r="B135" s="3">
        <f>21800000</f>
        <v>21800000</v>
      </c>
      <c r="C135" s="1" t="s">
        <v>14</v>
      </c>
      <c r="D135" s="5">
        <f>3.41695281</f>
        <v>3.4169528100000002</v>
      </c>
      <c r="E135" s="5">
        <f>6.39809335</f>
        <v>6.3980933499999999</v>
      </c>
      <c r="F135" s="1">
        <v>5</v>
      </c>
      <c r="G135" s="1">
        <v>7</v>
      </c>
      <c r="H135" s="5">
        <f t="shared" si="2"/>
        <v>415.55658569175102</v>
      </c>
    </row>
    <row r="136" spans="1:8" x14ac:dyDescent="0.2">
      <c r="A136" s="5">
        <f>415.87922</f>
        <v>415.87921999999998</v>
      </c>
      <c r="B136" s="3">
        <f>16000000</f>
        <v>16000000</v>
      </c>
      <c r="C136" s="1" t="s">
        <v>12</v>
      </c>
      <c r="D136" s="5">
        <f>3.43018998</f>
        <v>3.4301899800000002</v>
      </c>
      <c r="E136" s="5">
        <f>6.41060472</f>
        <v>6.4106047200000003</v>
      </c>
      <c r="F136" s="1">
        <v>3</v>
      </c>
      <c r="G136" s="1">
        <v>5</v>
      </c>
      <c r="H136" s="5">
        <f t="shared" si="2"/>
        <v>415.65778334248301</v>
      </c>
    </row>
    <row r="137" spans="1:8" x14ac:dyDescent="0.2">
      <c r="A137" s="5">
        <f>416.10766</f>
        <v>416.10766000000001</v>
      </c>
      <c r="B137" s="3">
        <f>950000</f>
        <v>950000</v>
      </c>
      <c r="C137" s="1" t="s">
        <v>12</v>
      </c>
      <c r="D137" s="5">
        <f>3.3682564</f>
        <v>3.3682563999999999</v>
      </c>
      <c r="E137" s="5">
        <f>6.34703293</f>
        <v>6.3470329300000001</v>
      </c>
      <c r="F137" s="1">
        <v>9</v>
      </c>
      <c r="G137" s="1">
        <v>9</v>
      </c>
      <c r="H137" s="5">
        <f t="shared" si="2"/>
        <v>415.88637878440073</v>
      </c>
    </row>
    <row r="138" spans="1:8" x14ac:dyDescent="0.2">
      <c r="A138" s="5">
        <f>416.14842</f>
        <v>416.14841999999999</v>
      </c>
      <c r="B138" s="3">
        <f>301000</f>
        <v>301000</v>
      </c>
      <c r="C138" s="1" t="s">
        <v>13</v>
      </c>
      <c r="D138" s="5">
        <f>3.01762252</f>
        <v>3.0176225200000002</v>
      </c>
      <c r="E138" s="5">
        <f>5.99610917</f>
        <v>5.9961091700000004</v>
      </c>
      <c r="F138" s="1">
        <v>7</v>
      </c>
      <c r="G138" s="1">
        <v>9</v>
      </c>
      <c r="H138" s="5">
        <f t="shared" si="2"/>
        <v>415.92685475681509</v>
      </c>
    </row>
    <row r="139" spans="1:8" x14ac:dyDescent="0.2">
      <c r="A139" s="5">
        <f>416.78584</f>
        <v>416.78584000000001</v>
      </c>
      <c r="B139" s="3">
        <f>585000</f>
        <v>585000</v>
      </c>
      <c r="C139" s="1" t="s">
        <v>5</v>
      </c>
      <c r="D139" s="5">
        <f>3.30140276</f>
        <v>3.3014027600000002</v>
      </c>
      <c r="E139" s="5">
        <f>6.27533411</f>
        <v>6.2753341100000002</v>
      </c>
      <c r="F139" s="1">
        <v>9</v>
      </c>
      <c r="G139" s="1">
        <v>9</v>
      </c>
      <c r="H139" s="5">
        <f t="shared" si="2"/>
        <v>416.56394801099322</v>
      </c>
    </row>
    <row r="140" spans="1:8" x14ac:dyDescent="0.2">
      <c r="A140" s="5">
        <f>416.86145</f>
        <v>416.86144999999999</v>
      </c>
      <c r="B140" s="3">
        <f>680000</f>
        <v>680000</v>
      </c>
      <c r="C140" s="1" t="s">
        <v>12</v>
      </c>
      <c r="D140" s="5">
        <f>3.3682564</f>
        <v>3.3682563999999999</v>
      </c>
      <c r="E140" s="5">
        <f>6.34164892</f>
        <v>6.3416489199999999</v>
      </c>
      <c r="F140" s="1">
        <v>9</v>
      </c>
      <c r="G140" s="1">
        <v>7</v>
      </c>
      <c r="H140" s="5">
        <f t="shared" si="2"/>
        <v>416.63943658190914</v>
      </c>
    </row>
    <row r="141" spans="1:8" x14ac:dyDescent="0.2">
      <c r="A141" s="5">
        <f>416.89413</f>
        <v>416.89413000000002</v>
      </c>
      <c r="B141" s="3">
        <f>1900000</f>
        <v>1900000</v>
      </c>
      <c r="C141" s="1" t="s">
        <v>12</v>
      </c>
      <c r="D141" s="5">
        <f>3.41695281</f>
        <v>3.4169528100000002</v>
      </c>
      <c r="E141" s="5">
        <f>6.39011087</f>
        <v>6.39011087</v>
      </c>
      <c r="F141" s="1">
        <v>5</v>
      </c>
      <c r="G141" s="1">
        <v>5</v>
      </c>
      <c r="H141" s="5">
        <f t="shared" si="2"/>
        <v>416.6722923131988</v>
      </c>
    </row>
    <row r="142" spans="1:8" x14ac:dyDescent="0.2">
      <c r="A142" s="5">
        <f>416.9756</f>
        <v>416.97559999999999</v>
      </c>
      <c r="B142" s="3">
        <f>1000000</f>
        <v>1000000</v>
      </c>
      <c r="C142" s="1" t="s">
        <v>12</v>
      </c>
      <c r="D142" s="5">
        <f>3.3965088</f>
        <v>3.3965087999999999</v>
      </c>
      <c r="E142" s="5">
        <f>6.36908625</f>
        <v>6.3690862499999996</v>
      </c>
      <c r="F142" s="1">
        <v>7</v>
      </c>
      <c r="G142" s="1">
        <v>5</v>
      </c>
      <c r="H142" s="5">
        <f t="shared" si="2"/>
        <v>416.75367761054071</v>
      </c>
    </row>
    <row r="143" spans="1:8" x14ac:dyDescent="0.2">
      <c r="A143" s="5">
        <f>417.09015</f>
        <v>417.09014999999999</v>
      </c>
      <c r="B143" s="3">
        <f>6290000</f>
        <v>6290000</v>
      </c>
      <c r="C143" s="1" t="s">
        <v>6</v>
      </c>
      <c r="D143" s="5">
        <f>3.01725044</f>
        <v>3.0172504400000002</v>
      </c>
      <c r="E143" s="5">
        <f>5.98901244</f>
        <v>5.9890124399999998</v>
      </c>
      <c r="F143" s="1">
        <v>5</v>
      </c>
      <c r="G143" s="1">
        <v>5</v>
      </c>
      <c r="H143" s="5">
        <f t="shared" si="2"/>
        <v>416.86803461032986</v>
      </c>
    </row>
    <row r="144" spans="1:8" x14ac:dyDescent="0.2">
      <c r="A144" s="5">
        <f>417.16905</f>
        <v>417.16905000000003</v>
      </c>
      <c r="B144" s="3">
        <f>2010000</f>
        <v>2010000</v>
      </c>
      <c r="C144" s="1" t="s">
        <v>5</v>
      </c>
      <c r="D144" s="5">
        <f>3.69459719</f>
        <v>3.6945971900000001</v>
      </c>
      <c r="E144" s="5">
        <f>6.66579718</f>
        <v>6.6657971800000002</v>
      </c>
      <c r="F144" s="1">
        <v>9</v>
      </c>
      <c r="G144" s="1">
        <v>7</v>
      </c>
      <c r="H144" s="5">
        <f t="shared" si="2"/>
        <v>416.94688625441972</v>
      </c>
    </row>
    <row r="145" spans="1:8" x14ac:dyDescent="0.2">
      <c r="A145" s="5">
        <f>417.1899</f>
        <v>417.18990000000002</v>
      </c>
      <c r="B145" s="3">
        <f>1090000</f>
        <v>1090000</v>
      </c>
      <c r="C145" s="1" t="s">
        <v>6</v>
      </c>
      <c r="D145" s="5">
        <f>3.30092244</f>
        <v>3.3009224399999999</v>
      </c>
      <c r="E145" s="5">
        <f>6.27197352</f>
        <v>6.2719735200000004</v>
      </c>
      <c r="F145" s="1">
        <v>5</v>
      </c>
      <c r="G145" s="1">
        <v>7</v>
      </c>
      <c r="H145" s="5">
        <f t="shared" si="2"/>
        <v>416.96778376145011</v>
      </c>
    </row>
    <row r="146" spans="1:8" x14ac:dyDescent="0.2">
      <c r="A146" s="5">
        <f>417.21219</f>
        <v>417.21219000000002</v>
      </c>
      <c r="B146" s="3">
        <f>9800000</f>
        <v>9800000</v>
      </c>
      <c r="C146" s="1" t="s">
        <v>6</v>
      </c>
      <c r="D146" s="5">
        <f>3.25148176</f>
        <v>3.2514817599999999</v>
      </c>
      <c r="E146" s="5">
        <f>6.22237439</f>
        <v>6.2223743899999997</v>
      </c>
      <c r="F146" s="1">
        <v>7</v>
      </c>
      <c r="G146" s="1">
        <v>5</v>
      </c>
      <c r="H146" s="5">
        <f t="shared" si="2"/>
        <v>416.99002237912015</v>
      </c>
    </row>
    <row r="147" spans="1:8" x14ac:dyDescent="0.2">
      <c r="A147" s="5">
        <f>417.26405</f>
        <v>417.26405</v>
      </c>
      <c r="B147" s="3">
        <f>2240000</f>
        <v>2240000</v>
      </c>
      <c r="C147" s="1" t="s">
        <v>13</v>
      </c>
      <c r="D147" s="5">
        <f>3.33201954</f>
        <v>3.3320195400000001</v>
      </c>
      <c r="E147" s="5">
        <f>6.30254306</f>
        <v>6.3025430599999996</v>
      </c>
      <c r="F147" s="1">
        <v>11</v>
      </c>
      <c r="G147" s="1">
        <v>11</v>
      </c>
      <c r="H147" s="5">
        <f t="shared" si="2"/>
        <v>417.04183654121113</v>
      </c>
    </row>
    <row r="148" spans="1:8" x14ac:dyDescent="0.2">
      <c r="A148" s="5">
        <f>417.27445</f>
        <v>417.27445</v>
      </c>
      <c r="B148" s="3">
        <f>64600</f>
        <v>64600</v>
      </c>
      <c r="C148" s="1" t="s">
        <v>11</v>
      </c>
      <c r="D148" s="5">
        <f>0.95815732</f>
        <v>0.95815731999999998</v>
      </c>
      <c r="E148" s="5">
        <f>3.92860683</f>
        <v>3.9286068300000001</v>
      </c>
      <c r="F148" s="1">
        <v>7</v>
      </c>
      <c r="G148" s="1">
        <v>5</v>
      </c>
      <c r="H148" s="5">
        <f t="shared" si="2"/>
        <v>417.05222731412897</v>
      </c>
    </row>
    <row r="149" spans="1:8" x14ac:dyDescent="0.2">
      <c r="A149" s="5">
        <f>417.33148</f>
        <v>417.33148</v>
      </c>
      <c r="B149" s="3">
        <f>2630000</f>
        <v>2630000</v>
      </c>
      <c r="C149" s="1" t="s">
        <v>6</v>
      </c>
      <c r="D149" s="5">
        <f>2.84504259</f>
        <v>2.8450425899999998</v>
      </c>
      <c r="E149" s="5">
        <f>5.81508605</f>
        <v>5.8150860499999997</v>
      </c>
      <c r="F149" s="1">
        <v>3</v>
      </c>
      <c r="G149" s="1">
        <v>3</v>
      </c>
      <c r="H149" s="5">
        <f t="shared" si="2"/>
        <v>417.10924468077076</v>
      </c>
    </row>
    <row r="150" spans="1:8" x14ac:dyDescent="0.2">
      <c r="A150" s="5">
        <f>417.39205</f>
        <v>417.39204999999998</v>
      </c>
      <c r="B150" s="3">
        <f>65000</f>
        <v>65000</v>
      </c>
      <c r="C150" s="1" t="s">
        <v>13</v>
      </c>
      <c r="D150" s="5">
        <f>0.99011115</f>
        <v>0.99011115000000005</v>
      </c>
      <c r="E150" s="5">
        <f>3.95972364</f>
        <v>3.95972364</v>
      </c>
      <c r="F150" s="1">
        <v>5</v>
      </c>
      <c r="G150" s="1">
        <v>3</v>
      </c>
      <c r="H150" s="5">
        <f t="shared" si="2"/>
        <v>417.1697783604294</v>
      </c>
    </row>
    <row r="151" spans="1:8" x14ac:dyDescent="0.2">
      <c r="A151" s="5">
        <f>417.49128</f>
        <v>417.49128000000002</v>
      </c>
      <c r="B151" s="3">
        <f>58700</f>
        <v>58700</v>
      </c>
      <c r="C151" s="1" t="s">
        <v>11</v>
      </c>
      <c r="D151" s="5">
        <f>0.91460217</f>
        <v>0.91460216999999999</v>
      </c>
      <c r="E151" s="5">
        <f>3.88350907</f>
        <v>3.8835090700000001</v>
      </c>
      <c r="F151" s="1">
        <v>9</v>
      </c>
      <c r="G151" s="1">
        <v>7</v>
      </c>
      <c r="H151" s="5">
        <f t="shared" si="2"/>
        <v>417.26892287180272</v>
      </c>
    </row>
    <row r="152" spans="1:8" x14ac:dyDescent="0.2">
      <c r="A152" s="5">
        <f>417.56358</f>
        <v>417.56358</v>
      </c>
      <c r="B152" s="3">
        <f>11400000</f>
        <v>11400000</v>
      </c>
      <c r="C152" s="1" t="s">
        <v>13</v>
      </c>
      <c r="D152" s="5">
        <f>2.84504259</f>
        <v>2.8450425899999998</v>
      </c>
      <c r="E152" s="5">
        <f>5.8134352</f>
        <v>5.8134351999999998</v>
      </c>
      <c r="F152" s="1">
        <v>3</v>
      </c>
      <c r="G152" s="1">
        <v>5</v>
      </c>
      <c r="H152" s="5">
        <f t="shared" si="2"/>
        <v>417.34121695905407</v>
      </c>
    </row>
    <row r="153" spans="1:8" x14ac:dyDescent="0.2">
      <c r="A153" s="5">
        <f>417.75936</f>
        <v>417.75936000000002</v>
      </c>
      <c r="B153" s="3">
        <f>37100</f>
        <v>37100</v>
      </c>
      <c r="C153" s="1" t="s">
        <v>11</v>
      </c>
      <c r="D153" s="5">
        <f>0.91460217</f>
        <v>0.91460216999999999</v>
      </c>
      <c r="E153" s="5">
        <f>3.88160368</f>
        <v>3.88160368</v>
      </c>
      <c r="F153" s="1">
        <v>9</v>
      </c>
      <c r="G153" s="1">
        <v>9</v>
      </c>
      <c r="H153" s="5">
        <f t="shared" si="2"/>
        <v>417.53689039061618</v>
      </c>
    </row>
    <row r="154" spans="1:8" x14ac:dyDescent="0.2">
      <c r="A154" s="5">
        <f>418.17544</f>
        <v>418.17543999999998</v>
      </c>
      <c r="B154" s="3">
        <f>23200000</f>
        <v>23200000</v>
      </c>
      <c r="C154" s="1" t="s">
        <v>13</v>
      </c>
      <c r="D154" s="5">
        <f>2.83159117</f>
        <v>2.8315911699999998</v>
      </c>
      <c r="E154" s="5">
        <f>5.79564049</f>
        <v>5.7956404900000003</v>
      </c>
      <c r="F154" s="1">
        <v>5</v>
      </c>
      <c r="G154" s="1">
        <v>7</v>
      </c>
      <c r="H154" s="5">
        <f t="shared" si="2"/>
        <v>417.95275669355692</v>
      </c>
    </row>
    <row r="155" spans="1:8" x14ac:dyDescent="0.2">
      <c r="A155" s="5">
        <f>418.23823</f>
        <v>418.23822999999999</v>
      </c>
      <c r="B155" s="3">
        <f>5040000</f>
        <v>5040000</v>
      </c>
      <c r="C155" s="1" t="s">
        <v>15</v>
      </c>
      <c r="D155" s="5">
        <f>3.01725044</f>
        <v>3.0172504400000002</v>
      </c>
      <c r="E155" s="5">
        <f>5.98085478</f>
        <v>5.9808547799999996</v>
      </c>
      <c r="F155" s="1">
        <v>5</v>
      </c>
      <c r="G155" s="1">
        <v>5</v>
      </c>
      <c r="H155" s="5">
        <f t="shared" si="2"/>
        <v>418.01551156780369</v>
      </c>
    </row>
    <row r="156" spans="1:8" x14ac:dyDescent="0.2">
      <c r="A156" s="5">
        <f>418.27575</f>
        <v>418.27575000000002</v>
      </c>
      <c r="B156" s="3">
        <f>1300000</f>
        <v>1300000</v>
      </c>
      <c r="C156" s="1" t="s">
        <v>12</v>
      </c>
      <c r="D156" s="5">
        <f>3.41695281</f>
        <v>3.4169528100000002</v>
      </c>
      <c r="E156" s="5">
        <f>6.38029108</f>
        <v>6.3802910800000001</v>
      </c>
      <c r="F156" s="1">
        <v>5</v>
      </c>
      <c r="G156" s="1">
        <v>7</v>
      </c>
      <c r="H156" s="5">
        <f t="shared" si="2"/>
        <v>418.05304403187927</v>
      </c>
    </row>
    <row r="157" spans="1:8" x14ac:dyDescent="0.2">
      <c r="A157" s="5">
        <f>418.3006</f>
        <v>418.30059999999997</v>
      </c>
      <c r="B157" s="3">
        <f>400000</f>
        <v>400000</v>
      </c>
      <c r="C157" s="1" t="s">
        <v>10</v>
      </c>
      <c r="D157" s="5">
        <f>3.3965088</f>
        <v>3.3965087999999999</v>
      </c>
      <c r="E157" s="5">
        <f>6.35967275</f>
        <v>6.3596727499999997</v>
      </c>
      <c r="F157" s="1">
        <v>7</v>
      </c>
      <c r="G157" s="1">
        <v>7</v>
      </c>
      <c r="H157" s="5">
        <f t="shared" si="2"/>
        <v>418.07763767835496</v>
      </c>
    </row>
    <row r="158" spans="1:8" x14ac:dyDescent="0.2">
      <c r="A158" s="5">
        <f>418.48915</f>
        <v>418.48915</v>
      </c>
      <c r="B158" s="3">
        <f>10300000</f>
        <v>10300000</v>
      </c>
      <c r="C158" s="1" t="s">
        <v>13</v>
      </c>
      <c r="D158" s="5">
        <f>2.83159117</f>
        <v>2.8315911699999998</v>
      </c>
      <c r="E158" s="5">
        <f>5.79341882</f>
        <v>5.7934188200000003</v>
      </c>
      <c r="F158" s="1">
        <v>5</v>
      </c>
      <c r="G158" s="1">
        <v>5</v>
      </c>
      <c r="H158" s="5">
        <f t="shared" si="2"/>
        <v>418.2662634909438</v>
      </c>
    </row>
    <row r="159" spans="1:8" x14ac:dyDescent="0.2">
      <c r="A159" s="5">
        <f>418.70387</f>
        <v>418.70386999999999</v>
      </c>
      <c r="B159" s="3">
        <f>21500000</f>
        <v>21500000</v>
      </c>
      <c r="C159" s="1" t="s">
        <v>13</v>
      </c>
      <c r="D159" s="5">
        <f>2.44955978</f>
        <v>2.44955978</v>
      </c>
      <c r="E159" s="5">
        <f>5.40986861</f>
        <v>5.4098686100000002</v>
      </c>
      <c r="F159" s="1">
        <v>7</v>
      </c>
      <c r="G159" s="1">
        <v>5</v>
      </c>
      <c r="H159" s="5">
        <f t="shared" si="2"/>
        <v>418.48085973842899</v>
      </c>
    </row>
    <row r="160" spans="1:8" x14ac:dyDescent="0.2">
      <c r="A160" s="5">
        <f>418.75868</f>
        <v>418.75868000000003</v>
      </c>
      <c r="B160" s="3">
        <f>4480000</f>
        <v>4480000</v>
      </c>
      <c r="C160" s="1" t="s">
        <v>6</v>
      </c>
      <c r="D160" s="5">
        <f>3.43018998</f>
        <v>3.4301899800000002</v>
      </c>
      <c r="E160" s="5">
        <f>6.39011087</f>
        <v>6.39011087</v>
      </c>
      <c r="F160" s="1">
        <v>3</v>
      </c>
      <c r="G160" s="1">
        <v>5</v>
      </c>
      <c r="H160" s="5">
        <f t="shared" si="2"/>
        <v>418.53570764509959</v>
      </c>
    </row>
    <row r="161" spans="1:8" x14ac:dyDescent="0.2">
      <c r="A161" s="5">
        <f>418.77952</f>
        <v>418.77951999999999</v>
      </c>
      <c r="B161" s="3">
        <f>15200000</f>
        <v>15200000</v>
      </c>
      <c r="C161" s="1" t="s">
        <v>13</v>
      </c>
      <c r="D161" s="5">
        <f>2.42543332</f>
        <v>2.4254333199999998</v>
      </c>
      <c r="E161" s="5">
        <f>5.38520741</f>
        <v>5.3852074099999996</v>
      </c>
      <c r="F161" s="1">
        <v>9</v>
      </c>
      <c r="G161" s="1">
        <v>7</v>
      </c>
      <c r="H161" s="5">
        <f t="shared" si="2"/>
        <v>418.55646633816667</v>
      </c>
    </row>
    <row r="162" spans="1:8" x14ac:dyDescent="0.2">
      <c r="A162" s="5">
        <f>418.95563</f>
        <v>418.95562999999999</v>
      </c>
      <c r="B162" s="3">
        <f>2700000</f>
        <v>2700000</v>
      </c>
      <c r="C162" s="1" t="s">
        <v>12</v>
      </c>
      <c r="D162" s="5">
        <f>3.69459719</f>
        <v>3.6945971900000001</v>
      </c>
      <c r="E162" s="5">
        <f>6.65312587</f>
        <v>6.6531258700000002</v>
      </c>
      <c r="F162" s="1">
        <v>9</v>
      </c>
      <c r="G162" s="1">
        <v>7</v>
      </c>
      <c r="H162" s="5">
        <f t="shared" si="2"/>
        <v>418.73266013755961</v>
      </c>
    </row>
    <row r="163" spans="1:8" x14ac:dyDescent="0.2">
      <c r="A163" s="5">
        <f>419.14304</f>
        <v>419.14303999999998</v>
      </c>
      <c r="B163" s="3">
        <f>27300000</f>
        <v>27300000</v>
      </c>
      <c r="C163" s="1" t="s">
        <v>13</v>
      </c>
      <c r="D163" s="5">
        <f>2.46883473</f>
        <v>2.4688347300000002</v>
      </c>
      <c r="E163" s="5">
        <f>5.42604198</f>
        <v>5.4260419799999999</v>
      </c>
      <c r="F163" s="1">
        <v>5</v>
      </c>
      <c r="G163" s="1">
        <v>3</v>
      </c>
      <c r="H163" s="5">
        <f t="shared" si="2"/>
        <v>418.91977110148878</v>
      </c>
    </row>
    <row r="164" spans="1:8" x14ac:dyDescent="0.2">
      <c r="A164" s="5">
        <f>419.16763</f>
        <v>419.16762999999997</v>
      </c>
      <c r="B164" s="3">
        <f>4060000</f>
        <v>4060000</v>
      </c>
      <c r="C164" s="1" t="s">
        <v>13</v>
      </c>
      <c r="D164" s="5">
        <f>2.85805275</f>
        <v>2.8580527500000001</v>
      </c>
      <c r="E164" s="5">
        <f>5.81508605</f>
        <v>5.8150860499999997</v>
      </c>
      <c r="F164" s="1">
        <v>1</v>
      </c>
      <c r="G164" s="1">
        <v>3</v>
      </c>
      <c r="H164" s="5">
        <f t="shared" si="2"/>
        <v>418.94441441348096</v>
      </c>
    </row>
    <row r="165" spans="1:8" x14ac:dyDescent="0.2">
      <c r="A165" s="5">
        <f>419.53288</f>
        <v>419.53287999999998</v>
      </c>
      <c r="B165" s="3">
        <f>11100000</f>
        <v>11100000</v>
      </c>
      <c r="C165" s="1" t="s">
        <v>13</v>
      </c>
      <c r="D165" s="5">
        <f>3.33201954</f>
        <v>3.3320195400000001</v>
      </c>
      <c r="E165" s="5">
        <f>6.28647868</f>
        <v>6.2864786800000001</v>
      </c>
      <c r="F165" s="1">
        <v>11</v>
      </c>
      <c r="G165" s="1">
        <v>11</v>
      </c>
      <c r="H165" s="5">
        <f t="shared" si="2"/>
        <v>419.30943213845325</v>
      </c>
    </row>
    <row r="166" spans="1:8" x14ac:dyDescent="0.2">
      <c r="A166" s="5">
        <f>419.56176</f>
        <v>419.56175999999999</v>
      </c>
      <c r="B166" s="3">
        <f>1210000</f>
        <v>1210000</v>
      </c>
      <c r="C166" s="1" t="s">
        <v>6</v>
      </c>
      <c r="D166" s="5">
        <f>3.01725044</f>
        <v>3.0172504400000002</v>
      </c>
      <c r="E166" s="5">
        <f>5.97150625</f>
        <v>5.97150625</v>
      </c>
      <c r="F166" s="1">
        <v>5</v>
      </c>
      <c r="G166" s="1">
        <v>5</v>
      </c>
      <c r="H166" s="5">
        <f t="shared" si="2"/>
        <v>419.33829158473014</v>
      </c>
    </row>
    <row r="167" spans="1:8" x14ac:dyDescent="0.2">
      <c r="A167" s="5">
        <f>419.62081</f>
        <v>419.62081000000001</v>
      </c>
      <c r="B167" s="3">
        <f>10900000</f>
        <v>10900000</v>
      </c>
      <c r="C167" s="1" t="s">
        <v>14</v>
      </c>
      <c r="D167" s="5">
        <f>3.3965088</f>
        <v>3.3965087999999999</v>
      </c>
      <c r="E167" s="5">
        <f>6.35034852</f>
        <v>6.3503485199999998</v>
      </c>
      <c r="F167" s="1">
        <v>7</v>
      </c>
      <c r="G167" s="1">
        <v>7</v>
      </c>
      <c r="H167" s="5">
        <f t="shared" si="2"/>
        <v>419.39736129950302</v>
      </c>
    </row>
    <row r="168" spans="1:8" x14ac:dyDescent="0.2">
      <c r="A168" s="5">
        <f>419.65308</f>
        <v>419.65307999999999</v>
      </c>
      <c r="B168" s="3">
        <f>300000</f>
        <v>300000</v>
      </c>
      <c r="C168" s="1" t="s">
        <v>10</v>
      </c>
      <c r="D168" s="5">
        <f>2.94879294</f>
        <v>2.9487929400000001</v>
      </c>
      <c r="E168" s="5">
        <f>5.90240588</f>
        <v>5.9024058799999999</v>
      </c>
      <c r="F168" s="1">
        <v>11</v>
      </c>
      <c r="G168" s="1">
        <v>11</v>
      </c>
      <c r="H168" s="5">
        <f t="shared" si="2"/>
        <v>419.42956285587746</v>
      </c>
    </row>
    <row r="169" spans="1:8" x14ac:dyDescent="0.2">
      <c r="A169" s="5">
        <f>419.82466</f>
        <v>419.82465999999999</v>
      </c>
      <c r="B169" s="3">
        <f>14700000</f>
        <v>14700000</v>
      </c>
      <c r="C169" s="1" t="s">
        <v>14</v>
      </c>
      <c r="D169" s="5">
        <f>3.3682564</f>
        <v>3.3682563999999999</v>
      </c>
      <c r="E169" s="5">
        <f>6.32066224</f>
        <v>6.3206622399999999</v>
      </c>
      <c r="F169" s="1">
        <v>9</v>
      </c>
      <c r="G169" s="1">
        <v>9</v>
      </c>
      <c r="H169" s="5">
        <f t="shared" si="2"/>
        <v>419.60104789308468</v>
      </c>
    </row>
    <row r="170" spans="1:8" x14ac:dyDescent="0.2">
      <c r="A170" s="5">
        <f>419.83041</f>
        <v>419.83040999999997</v>
      </c>
      <c r="B170" s="3">
        <f>8030000</f>
        <v>8030000</v>
      </c>
      <c r="C170" s="1" t="s">
        <v>13</v>
      </c>
      <c r="D170" s="5">
        <f>2.39920471</f>
        <v>2.3992047099999998</v>
      </c>
      <c r="E170" s="5">
        <f>5.35157038</f>
        <v>5.3515703800000001</v>
      </c>
      <c r="F170" s="1">
        <v>11</v>
      </c>
      <c r="G170" s="1">
        <v>9</v>
      </c>
      <c r="H170" s="5">
        <f t="shared" si="2"/>
        <v>419.60675700095874</v>
      </c>
    </row>
    <row r="171" spans="1:8" x14ac:dyDescent="0.2">
      <c r="A171" s="5">
        <f>419.86338</f>
        <v>419.86338000000001</v>
      </c>
      <c r="B171" s="3">
        <f>12500000</f>
        <v>12500000</v>
      </c>
      <c r="C171" s="1" t="s">
        <v>13</v>
      </c>
      <c r="D171" s="5">
        <f>3.41695281</f>
        <v>3.4169528100000002</v>
      </c>
      <c r="E171" s="5">
        <f>6.36908625</f>
        <v>6.3690862499999996</v>
      </c>
      <c r="F171" s="1">
        <v>5</v>
      </c>
      <c r="G171" s="1">
        <v>5</v>
      </c>
      <c r="H171" s="5">
        <f t="shared" si="2"/>
        <v>419.63976542661402</v>
      </c>
    </row>
    <row r="172" spans="1:8" x14ac:dyDescent="0.2">
      <c r="A172" s="5">
        <f>419.9095</f>
        <v>419.90949999999998</v>
      </c>
      <c r="B172" s="3">
        <f>49200000</f>
        <v>49200000</v>
      </c>
      <c r="C172" s="1" t="s">
        <v>13</v>
      </c>
      <c r="D172" s="5">
        <f>3.0468689</f>
        <v>3.0468689000000002</v>
      </c>
      <c r="E172" s="5">
        <f>5.99867825</f>
        <v>5.9986782500000002</v>
      </c>
      <c r="F172" s="1">
        <v>9</v>
      </c>
      <c r="G172" s="1">
        <v>11</v>
      </c>
      <c r="H172" s="5">
        <f t="shared" si="2"/>
        <v>419.68583921914296</v>
      </c>
    </row>
    <row r="173" spans="1:8" x14ac:dyDescent="0.2">
      <c r="A173" s="5">
        <f>420.09239</f>
        <v>420.09239000000002</v>
      </c>
      <c r="B173" s="3">
        <f>6250000</f>
        <v>6250000</v>
      </c>
      <c r="C173" s="1" t="s">
        <v>6</v>
      </c>
      <c r="D173" s="5">
        <f>3.3965088</f>
        <v>3.3965087999999999</v>
      </c>
      <c r="E173" s="5">
        <f>6.34703293</f>
        <v>6.3470329300000001</v>
      </c>
      <c r="F173" s="1">
        <v>7</v>
      </c>
      <c r="G173" s="1">
        <v>9</v>
      </c>
      <c r="H173" s="5">
        <f t="shared" si="2"/>
        <v>419.86865034371471</v>
      </c>
    </row>
    <row r="174" spans="1:8" x14ac:dyDescent="0.2">
      <c r="A174" s="5">
        <f>420.20289</f>
        <v>420.20289000000002</v>
      </c>
      <c r="B174" s="3">
        <f>8220000</f>
        <v>8220000</v>
      </c>
      <c r="C174" s="1" t="s">
        <v>11</v>
      </c>
      <c r="D174" s="5">
        <f>1.48486439</f>
        <v>1.48486439</v>
      </c>
      <c r="E174" s="5">
        <f>4.43461275</f>
        <v>4.4346127500000003</v>
      </c>
      <c r="F174" s="1">
        <v>9</v>
      </c>
      <c r="G174" s="1">
        <v>9</v>
      </c>
      <c r="H174" s="5">
        <f t="shared" si="2"/>
        <v>419.97907383179728</v>
      </c>
    </row>
    <row r="175" spans="1:8" x14ac:dyDescent="0.2">
      <c r="A175" s="5">
        <f>420.27527</f>
        <v>420.27526999999998</v>
      </c>
      <c r="B175" s="3">
        <f>253000</f>
        <v>253000</v>
      </c>
      <c r="C175" s="1" t="s">
        <v>6</v>
      </c>
      <c r="D175" s="5">
        <f>3.0468689</f>
        <v>3.0468689000000002</v>
      </c>
      <c r="E175" s="5">
        <f>5.99610917</f>
        <v>5.9961091700000004</v>
      </c>
      <c r="F175" s="1">
        <v>9</v>
      </c>
      <c r="G175" s="1">
        <v>9</v>
      </c>
      <c r="H175" s="5">
        <f t="shared" si="2"/>
        <v>420.05142709843125</v>
      </c>
    </row>
    <row r="176" spans="1:8" x14ac:dyDescent="0.2">
      <c r="A176" s="5">
        <f>420.35675</f>
        <v>420.35674999999998</v>
      </c>
      <c r="B176" s="3">
        <f>17000</f>
        <v>17000</v>
      </c>
      <c r="C176" s="1" t="s">
        <v>5</v>
      </c>
      <c r="D176" s="5">
        <f>1.01105568</f>
        <v>1.0110556799999999</v>
      </c>
      <c r="E176" s="5">
        <f>3.95972364</f>
        <v>3.95972364</v>
      </c>
      <c r="F176" s="1">
        <v>3</v>
      </c>
      <c r="G176" s="1">
        <v>3</v>
      </c>
      <c r="H176" s="5">
        <f t="shared" si="2"/>
        <v>420.13295531235843</v>
      </c>
    </row>
    <row r="177" spans="1:8" x14ac:dyDescent="0.2">
      <c r="A177" s="5">
        <f>420.3938</f>
        <v>420.3938</v>
      </c>
      <c r="B177" s="3">
        <f>2970000</f>
        <v>2970000</v>
      </c>
      <c r="C177" s="1" t="s">
        <v>13</v>
      </c>
      <c r="D177" s="5">
        <f>3.6343498</f>
        <v>3.6343497999999999</v>
      </c>
      <c r="E177" s="5">
        <f>6.58275864</f>
        <v>6.5827586399999998</v>
      </c>
      <c r="F177" s="1">
        <v>13</v>
      </c>
      <c r="G177" s="1">
        <v>13</v>
      </c>
      <c r="H177" s="5">
        <f t="shared" si="2"/>
        <v>420.16987856733704</v>
      </c>
    </row>
    <row r="178" spans="1:8" x14ac:dyDescent="0.2">
      <c r="A178" s="5">
        <f>420.39845</f>
        <v>420.39845000000003</v>
      </c>
      <c r="B178" s="3">
        <f>7370000</f>
        <v>7370000</v>
      </c>
      <c r="C178" s="1" t="s">
        <v>13</v>
      </c>
      <c r="D178" s="5">
        <f>2.84504259</f>
        <v>2.8450425899999998</v>
      </c>
      <c r="E178" s="5">
        <f>5.79341882</f>
        <v>5.7934188200000003</v>
      </c>
      <c r="F178" s="1">
        <v>3</v>
      </c>
      <c r="G178" s="1">
        <v>5</v>
      </c>
      <c r="H178" s="5">
        <f t="shared" si="2"/>
        <v>420.17452578284508</v>
      </c>
    </row>
    <row r="179" spans="1:8" x14ac:dyDescent="0.2">
      <c r="A179" s="5">
        <f>420.55382</f>
        <v>420.55381999999997</v>
      </c>
      <c r="B179" s="3">
        <f>2770000</f>
        <v>2770000</v>
      </c>
      <c r="C179" s="1" t="s">
        <v>15</v>
      </c>
      <c r="D179" s="5">
        <f>3.41695281</f>
        <v>3.4169528100000002</v>
      </c>
      <c r="E179" s="5">
        <f>6.36423934</f>
        <v>6.3642393400000001</v>
      </c>
      <c r="F179" s="1">
        <v>5</v>
      </c>
      <c r="G179" s="1">
        <v>5</v>
      </c>
      <c r="H179" s="5">
        <f t="shared" si="2"/>
        <v>420.32987687480221</v>
      </c>
    </row>
    <row r="180" spans="1:8" x14ac:dyDescent="0.2">
      <c r="A180" s="5">
        <f>420.66964</f>
        <v>420.66964000000002</v>
      </c>
      <c r="B180" s="3">
        <f>5900</f>
        <v>5900</v>
      </c>
      <c r="C180" s="1" t="s">
        <v>15</v>
      </c>
      <c r="D180" s="5">
        <f>0.05156912</f>
        <v>5.1569120000000003E-2</v>
      </c>
      <c r="E180" s="5">
        <f>2.99804479</f>
        <v>2.9980447899999998</v>
      </c>
      <c r="F180" s="1">
        <v>7</v>
      </c>
      <c r="G180" s="1">
        <v>7</v>
      </c>
      <c r="H180" s="5">
        <f t="shared" si="2"/>
        <v>420.44555021547598</v>
      </c>
    </row>
    <row r="181" spans="1:8" x14ac:dyDescent="0.2">
      <c r="A181" s="5">
        <f>420.71268</f>
        <v>420.71267999999998</v>
      </c>
      <c r="B181" s="3">
        <f>4800000</f>
        <v>4800000</v>
      </c>
      <c r="C181" s="1" t="s">
        <v>15</v>
      </c>
      <c r="D181" s="5">
        <f>2.83159117</f>
        <v>2.8315911699999998</v>
      </c>
      <c r="E181" s="5">
        <f>5.77776507</f>
        <v>5.7777650700000001</v>
      </c>
      <c r="F181" s="1">
        <v>5</v>
      </c>
      <c r="G181" s="1">
        <v>3</v>
      </c>
      <c r="H181" s="5">
        <f t="shared" si="2"/>
        <v>420.48861551236428</v>
      </c>
    </row>
    <row r="182" spans="1:8" x14ac:dyDescent="0.2">
      <c r="A182" s="5">
        <f>421.03433</f>
        <v>421.03433000000001</v>
      </c>
      <c r="B182" s="3">
        <f>14800000</f>
        <v>14800000</v>
      </c>
      <c r="C182" s="1" t="s">
        <v>13</v>
      </c>
      <c r="D182" s="5">
        <f>2.4821184</f>
        <v>2.4821184000000001</v>
      </c>
      <c r="E182" s="5">
        <f>5.42604198</f>
        <v>5.4260419799999999</v>
      </c>
      <c r="F182" s="1">
        <v>3</v>
      </c>
      <c r="G182" s="1">
        <v>3</v>
      </c>
      <c r="H182" s="5">
        <f t="shared" si="2"/>
        <v>420.81003484121112</v>
      </c>
    </row>
    <row r="183" spans="1:8" x14ac:dyDescent="0.2">
      <c r="A183" s="5">
        <f>421.0383</f>
        <v>421.03829999999999</v>
      </c>
      <c r="B183" s="3">
        <f>7180000</f>
        <v>7180000</v>
      </c>
      <c r="C183" s="1" t="s">
        <v>13</v>
      </c>
      <c r="D183" s="5">
        <f>3.0713388</f>
        <v>3.0713387999999999</v>
      </c>
      <c r="E183" s="5">
        <f>6.01523448</f>
        <v>6.0152344800000002</v>
      </c>
      <c r="F183" s="1">
        <v>3</v>
      </c>
      <c r="G183" s="1">
        <v>3</v>
      </c>
      <c r="H183" s="5">
        <f t="shared" si="2"/>
        <v>420.81402295806311</v>
      </c>
    </row>
    <row r="184" spans="1:8" x14ac:dyDescent="0.2">
      <c r="A184" s="5">
        <f>421.36471</f>
        <v>421.36471</v>
      </c>
      <c r="B184" s="3">
        <f>21000000</f>
        <v>21000000</v>
      </c>
      <c r="C184" s="1" t="s">
        <v>15</v>
      </c>
      <c r="D184" s="5">
        <f>2.84504259</f>
        <v>2.8450425899999998</v>
      </c>
      <c r="E184" s="5">
        <f>5.7866575</f>
        <v>5.7866574999999996</v>
      </c>
      <c r="F184" s="1">
        <v>3</v>
      </c>
      <c r="G184" s="1">
        <v>1</v>
      </c>
      <c r="H184" s="5">
        <f t="shared" si="2"/>
        <v>421.14029951992018</v>
      </c>
    </row>
    <row r="185" spans="1:8" x14ac:dyDescent="0.2">
      <c r="A185" s="5">
        <f>421.5423</f>
        <v>421.54230000000001</v>
      </c>
      <c r="B185" s="3">
        <f>598000</f>
        <v>598000</v>
      </c>
      <c r="C185" s="1" t="s">
        <v>13</v>
      </c>
      <c r="D185" s="5">
        <f>2.99035244</f>
        <v>2.9903524400000001</v>
      </c>
      <c r="E185" s="5">
        <f>5.93072834</f>
        <v>5.9307283399999999</v>
      </c>
      <c r="F185" s="1">
        <v>9</v>
      </c>
      <c r="G185" s="1">
        <v>11</v>
      </c>
      <c r="H185" s="5">
        <f t="shared" si="2"/>
        <v>421.31775881772904</v>
      </c>
    </row>
    <row r="186" spans="1:8" x14ac:dyDescent="0.2">
      <c r="A186" s="5">
        <f>421.61835</f>
        <v>421.61835000000002</v>
      </c>
      <c r="B186" s="3">
        <f>18400</f>
        <v>18400</v>
      </c>
      <c r="C186" s="1" t="s">
        <v>11</v>
      </c>
      <c r="D186" s="5">
        <f>0</f>
        <v>0</v>
      </c>
      <c r="E186" s="5">
        <f>2.93984587</f>
        <v>2.9398458700000001</v>
      </c>
      <c r="F186" s="1">
        <v>9</v>
      </c>
      <c r="G186" s="1">
        <v>9</v>
      </c>
      <c r="H186" s="5">
        <f t="shared" si="2"/>
        <v>421.39371893998748</v>
      </c>
    </row>
    <row r="187" spans="1:8" x14ac:dyDescent="0.2">
      <c r="A187" s="5">
        <f>421.75453</f>
        <v>421.75452999999999</v>
      </c>
      <c r="B187" s="3">
        <f>24600000</f>
        <v>24600000</v>
      </c>
      <c r="C187" s="1" t="s">
        <v>14</v>
      </c>
      <c r="D187" s="5">
        <f>3.43018998</f>
        <v>3.4301899800000002</v>
      </c>
      <c r="E187" s="5">
        <f>6.36908625</f>
        <v>6.3690862499999996</v>
      </c>
      <c r="F187" s="1">
        <v>3</v>
      </c>
      <c r="G187" s="1">
        <v>5</v>
      </c>
      <c r="H187" s="5">
        <f t="shared" si="2"/>
        <v>421.52987736095338</v>
      </c>
    </row>
    <row r="188" spans="1:8" x14ac:dyDescent="0.2">
      <c r="A188" s="5">
        <f>421.93601</f>
        <v>421.93601000000001</v>
      </c>
      <c r="B188" s="3">
        <f>28800000</f>
        <v>28800000</v>
      </c>
      <c r="C188" s="1" t="s">
        <v>14</v>
      </c>
      <c r="D188" s="5">
        <f>3.5732189</f>
        <v>3.5732189000000001</v>
      </c>
      <c r="E188" s="5">
        <f>6.51085164</f>
        <v>6.5108516400000003</v>
      </c>
      <c r="F188" s="1">
        <v>11</v>
      </c>
      <c r="G188" s="1">
        <v>13</v>
      </c>
      <c r="H188" s="5">
        <f t="shared" si="2"/>
        <v>421.71118513257818</v>
      </c>
    </row>
    <row r="189" spans="1:8" x14ac:dyDescent="0.2">
      <c r="A189" s="5">
        <f>421.94141</f>
        <v>421.94141000000002</v>
      </c>
      <c r="B189" s="3">
        <f>529000</f>
        <v>529000</v>
      </c>
      <c r="C189" s="1" t="s">
        <v>13</v>
      </c>
      <c r="D189" s="5">
        <f>2.99035244</f>
        <v>2.9903524400000001</v>
      </c>
      <c r="E189" s="5">
        <f>5.92794713</f>
        <v>5.9279471299999997</v>
      </c>
      <c r="F189" s="1">
        <v>9</v>
      </c>
      <c r="G189" s="1">
        <v>9</v>
      </c>
      <c r="H189" s="5">
        <f t="shared" si="2"/>
        <v>421.71664746223485</v>
      </c>
    </row>
    <row r="190" spans="1:8" x14ac:dyDescent="0.2">
      <c r="A190" s="5">
        <f>422.0049</f>
        <v>422.00490000000002</v>
      </c>
      <c r="B190" s="3">
        <f>2800000</f>
        <v>2800000</v>
      </c>
      <c r="C190" s="1" t="s">
        <v>10</v>
      </c>
      <c r="D190" s="5">
        <f>3.92860683</f>
        <v>3.9286068300000001</v>
      </c>
      <c r="E190" s="5">
        <f>6.86576013</f>
        <v>6.86576013</v>
      </c>
      <c r="F190" s="1">
        <v>5</v>
      </c>
      <c r="G190" s="1">
        <v>3</v>
      </c>
      <c r="H190" s="5">
        <f t="shared" si="2"/>
        <v>421.78002226498126</v>
      </c>
    </row>
    <row r="191" spans="1:8" x14ac:dyDescent="0.2">
      <c r="A191" s="5">
        <f>422.03414</f>
        <v>422.03413999999998</v>
      </c>
      <c r="B191" s="3">
        <f>18300000</f>
        <v>18300000</v>
      </c>
      <c r="C191" s="1" t="s">
        <v>6</v>
      </c>
      <c r="D191" s="5">
        <f>3.0713388</f>
        <v>3.0713387999999999</v>
      </c>
      <c r="E191" s="5">
        <f>6.00828827</f>
        <v>6.0082882700000004</v>
      </c>
      <c r="F191" s="1">
        <v>3</v>
      </c>
      <c r="G191" s="1">
        <v>1</v>
      </c>
      <c r="H191" s="5">
        <f t="shared" si="2"/>
        <v>421.80929461808643</v>
      </c>
    </row>
    <row r="192" spans="1:8" x14ac:dyDescent="0.2">
      <c r="A192" s="5">
        <f>422.22128</f>
        <v>422.22127999999998</v>
      </c>
      <c r="B192" s="3">
        <f>5760000</f>
        <v>5760000</v>
      </c>
      <c r="C192" s="1" t="s">
        <v>13</v>
      </c>
      <c r="D192" s="5">
        <f>2.44955978</f>
        <v>2.44955978</v>
      </c>
      <c r="E192" s="5">
        <f>5.38520741</f>
        <v>5.3852074099999996</v>
      </c>
      <c r="F192" s="1">
        <v>7</v>
      </c>
      <c r="G192" s="1">
        <v>7</v>
      </c>
      <c r="H192" s="5">
        <f t="shared" si="2"/>
        <v>421.99634983768914</v>
      </c>
    </row>
    <row r="193" spans="1:8" x14ac:dyDescent="0.2">
      <c r="A193" s="5">
        <f>422.41714</f>
        <v>422.41714000000002</v>
      </c>
      <c r="B193" s="3">
        <f>10600000</f>
        <v>10600000</v>
      </c>
      <c r="C193" s="1" t="s">
        <v>14</v>
      </c>
      <c r="D193" s="5">
        <f>3.3682564</f>
        <v>3.3682563999999999</v>
      </c>
      <c r="E193" s="5">
        <f>6.30254306</f>
        <v>6.3025430599999996</v>
      </c>
      <c r="F193" s="1">
        <v>9</v>
      </c>
      <c r="G193" s="1">
        <v>11</v>
      </c>
      <c r="H193" s="5">
        <f t="shared" si="2"/>
        <v>422.19207862590457</v>
      </c>
    </row>
    <row r="194" spans="1:8" x14ac:dyDescent="0.2">
      <c r="A194" s="5">
        <f>422.45125</f>
        <v>422.45125000000002</v>
      </c>
      <c r="B194" s="3">
        <f>6810000</f>
        <v>6810000</v>
      </c>
      <c r="C194" s="1" t="s">
        <v>5</v>
      </c>
      <c r="D194" s="5">
        <f>3.43018998</f>
        <v>3.4301899800000002</v>
      </c>
      <c r="E194" s="5">
        <f>6.36423934</f>
        <v>6.3642393400000001</v>
      </c>
      <c r="F194" s="1">
        <v>3</v>
      </c>
      <c r="G194" s="1">
        <v>5</v>
      </c>
      <c r="H194" s="5">
        <f t="shared" si="2"/>
        <v>422.22622467048853</v>
      </c>
    </row>
    <row r="195" spans="1:8" x14ac:dyDescent="0.2">
      <c r="A195" s="5">
        <f>422.5454</f>
        <v>422.54539999999997</v>
      </c>
      <c r="B195" s="3">
        <f>16500000</f>
        <v>16500000</v>
      </c>
      <c r="C195" s="1" t="s">
        <v>14</v>
      </c>
      <c r="D195" s="5">
        <f>3.41695281</f>
        <v>3.4169528100000002</v>
      </c>
      <c r="E195" s="5">
        <f>6.35034852</f>
        <v>6.3503485199999998</v>
      </c>
      <c r="F195" s="1">
        <v>5</v>
      </c>
      <c r="G195" s="1">
        <v>7</v>
      </c>
      <c r="H195" s="5">
        <f t="shared" ref="H195:H258" si="3">$J$2*$J$1/((E195-D195)*$J$3)*1000000000</f>
        <v>422.32030954652998</v>
      </c>
    </row>
    <row r="196" spans="1:8" x14ac:dyDescent="0.2">
      <c r="A196" s="5">
        <f>422.59554</f>
        <v>422.59554000000003</v>
      </c>
      <c r="B196" s="3">
        <f>1320000</f>
        <v>1320000</v>
      </c>
      <c r="C196" s="1" t="s">
        <v>14</v>
      </c>
      <c r="D196" s="5">
        <f>3.0468689</f>
        <v>3.0468689000000002</v>
      </c>
      <c r="E196" s="5">
        <f>5.97991659</f>
        <v>5.9799165900000002</v>
      </c>
      <c r="F196" s="1">
        <v>9</v>
      </c>
      <c r="G196" s="1">
        <v>11</v>
      </c>
      <c r="H196" s="5">
        <f t="shared" si="3"/>
        <v>422.37041985146277</v>
      </c>
    </row>
    <row r="197" spans="1:8" x14ac:dyDescent="0.2">
      <c r="A197" s="5">
        <f>422.64237</f>
        <v>422.64237000000003</v>
      </c>
      <c r="B197" s="3">
        <f>4300000</f>
        <v>4300000</v>
      </c>
      <c r="C197" s="1" t="s">
        <v>15</v>
      </c>
      <c r="D197" s="5">
        <f>2.84504259</f>
        <v>2.8450425899999998</v>
      </c>
      <c r="E197" s="5">
        <f>5.77776507</f>
        <v>5.7777650700000001</v>
      </c>
      <c r="F197" s="1">
        <v>3</v>
      </c>
      <c r="G197" s="1">
        <v>3</v>
      </c>
      <c r="H197" s="5">
        <f t="shared" si="3"/>
        <v>422.41725656553183</v>
      </c>
    </row>
    <row r="198" spans="1:8" x14ac:dyDescent="0.2">
      <c r="A198" s="5">
        <f>422.74263</f>
        <v>422.74263000000002</v>
      </c>
      <c r="B198" s="3">
        <f>52900000</f>
        <v>52900000</v>
      </c>
      <c r="C198" s="1" t="s">
        <v>13</v>
      </c>
      <c r="D198" s="5">
        <f>3.33201954</f>
        <v>3.3320195400000001</v>
      </c>
      <c r="E198" s="5">
        <f>6.26404671</f>
        <v>6.2640467099999997</v>
      </c>
      <c r="F198" s="1">
        <v>11</v>
      </c>
      <c r="G198" s="1">
        <v>13</v>
      </c>
      <c r="H198" s="5">
        <f t="shared" si="3"/>
        <v>422.51742990146408</v>
      </c>
    </row>
    <row r="199" spans="1:8" x14ac:dyDescent="0.2">
      <c r="A199" s="5">
        <f>422.951</f>
        <v>422.95100000000002</v>
      </c>
      <c r="B199" s="3">
        <f>2930000</f>
        <v>2930000</v>
      </c>
      <c r="C199" s="1" t="s">
        <v>6</v>
      </c>
      <c r="D199" s="5">
        <f>3.2739844</f>
        <v>3.2739843999999998</v>
      </c>
      <c r="E199" s="5">
        <f>6.20456765</f>
        <v>6.2045676500000004</v>
      </c>
      <c r="F199" s="1">
        <v>3</v>
      </c>
      <c r="G199" s="1">
        <v>3</v>
      </c>
      <c r="H199" s="5">
        <f t="shared" si="3"/>
        <v>422.72560735807889</v>
      </c>
    </row>
    <row r="200" spans="1:8" x14ac:dyDescent="0.2">
      <c r="A200" s="5">
        <f>422.97514</f>
        <v>422.97514000000001</v>
      </c>
      <c r="B200" s="3">
        <f>19900</f>
        <v>19900</v>
      </c>
      <c r="C200" s="1" t="s">
        <v>11</v>
      </c>
      <c r="D200" s="5">
        <f>1.48486439</f>
        <v>1.48486439</v>
      </c>
      <c r="E200" s="5">
        <f>4.41527878</f>
        <v>4.4152787800000004</v>
      </c>
      <c r="F200" s="1">
        <v>9</v>
      </c>
      <c r="G200" s="1">
        <v>7</v>
      </c>
      <c r="H200" s="5">
        <f t="shared" si="3"/>
        <v>422.7499661812891</v>
      </c>
    </row>
    <row r="201" spans="1:8" x14ac:dyDescent="0.2">
      <c r="A201" s="5">
        <f>423.2726</f>
        <v>423.27260000000001</v>
      </c>
      <c r="B201" s="3">
        <f>878</f>
        <v>878</v>
      </c>
      <c r="C201" s="1" t="s">
        <v>11</v>
      </c>
      <c r="D201" s="5">
        <f>0.11011433</f>
        <v>0.11011433</v>
      </c>
      <c r="E201" s="5">
        <f>3.03847046</f>
        <v>3.0384704600000001</v>
      </c>
      <c r="F201" s="1">
        <v>3</v>
      </c>
      <c r="G201" s="1">
        <v>5</v>
      </c>
      <c r="H201" s="5">
        <f t="shared" si="3"/>
        <v>423.04710536339815</v>
      </c>
    </row>
    <row r="202" spans="1:8" x14ac:dyDescent="0.2">
      <c r="A202" s="5">
        <f>423.36025</f>
        <v>423.36025000000001</v>
      </c>
      <c r="B202" s="3">
        <f>18500000</f>
        <v>18500000</v>
      </c>
      <c r="C202" s="1" t="s">
        <v>13</v>
      </c>
      <c r="D202" s="5">
        <f>2.4821184</f>
        <v>2.4821184000000001</v>
      </c>
      <c r="E202" s="5">
        <f>5.40986861</f>
        <v>5.4098686100000002</v>
      </c>
      <c r="F202" s="1">
        <v>3</v>
      </c>
      <c r="G202" s="1">
        <v>5</v>
      </c>
      <c r="H202" s="5">
        <f t="shared" si="3"/>
        <v>423.1346581543454</v>
      </c>
    </row>
    <row r="203" spans="1:8" x14ac:dyDescent="0.2">
      <c r="A203" s="5">
        <f>423.5387</f>
        <v>423.53870000000001</v>
      </c>
      <c r="B203" s="3">
        <f>1570000</f>
        <v>1570000</v>
      </c>
      <c r="C203" s="1" t="s">
        <v>15</v>
      </c>
      <c r="D203" s="5">
        <f>3.3965088</f>
        <v>3.3965087999999999</v>
      </c>
      <c r="E203" s="5">
        <f>6.32302612</f>
        <v>6.3230261199999998</v>
      </c>
      <c r="F203" s="1">
        <v>7</v>
      </c>
      <c r="G203" s="1">
        <v>5</v>
      </c>
      <c r="H203" s="5">
        <f t="shared" si="3"/>
        <v>423.31291730392462</v>
      </c>
    </row>
    <row r="204" spans="1:8" x14ac:dyDescent="0.2">
      <c r="A204" s="5">
        <f>423.59367</f>
        <v>423.59366999999997</v>
      </c>
      <c r="B204" s="3">
        <f>18800000</f>
        <v>18800000</v>
      </c>
      <c r="C204" s="1" t="s">
        <v>13</v>
      </c>
      <c r="D204" s="5">
        <f>2.42543332</f>
        <v>2.4254333199999998</v>
      </c>
      <c r="E204" s="5">
        <f>5.35157038</f>
        <v>5.3515703800000001</v>
      </c>
      <c r="F204" s="1">
        <v>9</v>
      </c>
      <c r="G204" s="1">
        <v>9</v>
      </c>
      <c r="H204" s="5">
        <f t="shared" si="3"/>
        <v>423.36792804560662</v>
      </c>
    </row>
    <row r="205" spans="1:8" x14ac:dyDescent="0.2">
      <c r="A205" s="5">
        <f>423.70739</f>
        <v>423.70738999999998</v>
      </c>
      <c r="B205" s="3">
        <f>2220</f>
        <v>2220</v>
      </c>
      <c r="C205" s="1" t="s">
        <v>14</v>
      </c>
      <c r="D205" s="5">
        <f>0.95815732</f>
        <v>0.95815731999999998</v>
      </c>
      <c r="E205" s="5">
        <f>3.88350907</f>
        <v>3.8835090700000001</v>
      </c>
      <c r="F205" s="1">
        <v>7</v>
      </c>
      <c r="G205" s="1">
        <v>7</v>
      </c>
      <c r="H205" s="5">
        <f t="shared" si="3"/>
        <v>423.48158106787088</v>
      </c>
    </row>
    <row r="206" spans="1:8" x14ac:dyDescent="0.2">
      <c r="A206" s="5">
        <f>423.88097</f>
        <v>423.88096999999999</v>
      </c>
      <c r="B206" s="3">
        <f>24100000</f>
        <v>24100000</v>
      </c>
      <c r="C206" s="1" t="s">
        <v>14</v>
      </c>
      <c r="D206" s="5">
        <f>3.3965088</f>
        <v>3.3965087999999999</v>
      </c>
      <c r="E206" s="5">
        <f>6.32066224</f>
        <v>6.3206622399999999</v>
      </c>
      <c r="F206" s="1">
        <v>7</v>
      </c>
      <c r="G206" s="1">
        <v>9</v>
      </c>
      <c r="H206" s="5">
        <f t="shared" si="3"/>
        <v>423.65512264967293</v>
      </c>
    </row>
    <row r="207" spans="1:8" x14ac:dyDescent="0.2">
      <c r="A207" s="5">
        <f>423.9361</f>
        <v>423.93610000000001</v>
      </c>
      <c r="B207" s="3">
        <f>1300000</f>
        <v>1300000</v>
      </c>
      <c r="C207" s="1" t="s">
        <v>10</v>
      </c>
      <c r="D207" s="5">
        <f>3.64164057</f>
        <v>3.6416405699999999</v>
      </c>
      <c r="E207" s="5">
        <f>6.56541325</f>
        <v>6.5654132499999998</v>
      </c>
      <c r="F207" s="1">
        <v>7</v>
      </c>
      <c r="G207" s="1">
        <v>9</v>
      </c>
      <c r="H207" s="5">
        <f t="shared" si="3"/>
        <v>423.7102948337498</v>
      </c>
    </row>
    <row r="208" spans="1:8" x14ac:dyDescent="0.2">
      <c r="A208" s="5">
        <f>423.97321</f>
        <v>423.97320999999999</v>
      </c>
      <c r="B208" s="3">
        <f>846000</f>
        <v>846000</v>
      </c>
      <c r="C208" s="1" t="s">
        <v>13</v>
      </c>
      <c r="D208" s="5">
        <f>2.94879294</f>
        <v>2.9487929400000001</v>
      </c>
      <c r="E208" s="5">
        <f>5.87231021</f>
        <v>5.8723102100000002</v>
      </c>
      <c r="F208" s="1">
        <v>11</v>
      </c>
      <c r="G208" s="1">
        <v>13</v>
      </c>
      <c r="H208" s="5">
        <f t="shared" si="3"/>
        <v>423.74731183635629</v>
      </c>
    </row>
    <row r="209" spans="1:8" x14ac:dyDescent="0.2">
      <c r="A209" s="5">
        <f>423.98474</f>
        <v>423.98473999999999</v>
      </c>
      <c r="B209" s="3">
        <f>767000</f>
        <v>767000</v>
      </c>
      <c r="C209" s="1" t="s">
        <v>14</v>
      </c>
      <c r="D209" s="5">
        <f>2.69240763</f>
        <v>2.6924076299999999</v>
      </c>
      <c r="E209" s="5">
        <f>5.61584517</f>
        <v>5.6158451700000001</v>
      </c>
      <c r="F209" s="1">
        <v>11</v>
      </c>
      <c r="G209" s="1">
        <v>11</v>
      </c>
      <c r="H209" s="5">
        <f t="shared" si="3"/>
        <v>423.75886856459499</v>
      </c>
    </row>
    <row r="210" spans="1:8" x14ac:dyDescent="0.2">
      <c r="A210" s="5">
        <f>424.03705</f>
        <v>424.03705000000002</v>
      </c>
      <c r="B210" s="3">
        <f>6700000</f>
        <v>6700000</v>
      </c>
      <c r="C210" s="1" t="s">
        <v>6</v>
      </c>
      <c r="D210" s="5">
        <f>3.54652001</f>
        <v>3.5465200100000001</v>
      </c>
      <c r="E210" s="5">
        <f>6.46959714</f>
        <v>6.4695971400000003</v>
      </c>
      <c r="F210" s="1">
        <v>5</v>
      </c>
      <c r="G210" s="1">
        <v>3</v>
      </c>
      <c r="H210" s="5">
        <f t="shared" si="3"/>
        <v>423.8111172487819</v>
      </c>
    </row>
    <row r="211" spans="1:8" x14ac:dyDescent="0.2">
      <c r="A211" s="5">
        <f>424.1114</f>
        <v>424.1114</v>
      </c>
      <c r="B211" s="3">
        <f>430000</f>
        <v>430000</v>
      </c>
      <c r="C211" s="1" t="s">
        <v>12</v>
      </c>
      <c r="D211" s="5">
        <f>2.83159117</f>
        <v>2.8315911699999998</v>
      </c>
      <c r="E211" s="5">
        <f>5.75415389</f>
        <v>5.7541538900000004</v>
      </c>
      <c r="F211" s="1">
        <v>5</v>
      </c>
      <c r="G211" s="1">
        <v>3</v>
      </c>
      <c r="H211" s="5">
        <f t="shared" si="3"/>
        <v>423.88571365533011</v>
      </c>
    </row>
    <row r="212" spans="1:8" x14ac:dyDescent="0.2">
      <c r="A212" s="5">
        <f>424.25957</f>
        <v>424.25957</v>
      </c>
      <c r="B212" s="3">
        <f>119000</f>
        <v>119000</v>
      </c>
      <c r="C212" s="1" t="s">
        <v>6</v>
      </c>
      <c r="D212" s="5">
        <f>2.7275445</f>
        <v>2.7275445</v>
      </c>
      <c r="E212" s="5">
        <f>5.64908881</f>
        <v>5.6490888100000003</v>
      </c>
      <c r="F212" s="1">
        <v>9</v>
      </c>
      <c r="G212" s="1">
        <v>7</v>
      </c>
      <c r="H212" s="5">
        <f t="shared" si="3"/>
        <v>424.0334743612575</v>
      </c>
    </row>
    <row r="213" spans="1:8" x14ac:dyDescent="0.2">
      <c r="A213" s="5">
        <f>424.27291</f>
        <v>424.27291000000002</v>
      </c>
      <c r="B213" s="3">
        <f>1320000</f>
        <v>1320000</v>
      </c>
      <c r="C213" s="1" t="s">
        <v>6</v>
      </c>
      <c r="D213" s="5">
        <f>3.30092244</f>
        <v>3.3009224399999999</v>
      </c>
      <c r="E213" s="5">
        <f>6.22237439</f>
        <v>6.2223743899999997</v>
      </c>
      <c r="F213" s="1">
        <v>5</v>
      </c>
      <c r="G213" s="1">
        <v>5</v>
      </c>
      <c r="H213" s="5">
        <f t="shared" si="3"/>
        <v>424.04687993230999</v>
      </c>
    </row>
    <row r="214" spans="1:8" x14ac:dyDescent="0.2">
      <c r="A214" s="5">
        <f>424.38159</f>
        <v>424.38159000000002</v>
      </c>
      <c r="B214" s="3">
        <f>2500000</f>
        <v>2500000</v>
      </c>
      <c r="C214" s="1" t="s">
        <v>12</v>
      </c>
      <c r="D214" s="5">
        <f>3.88350907</f>
        <v>3.8835090700000001</v>
      </c>
      <c r="E214" s="5">
        <f>6.80421351</f>
        <v>6.8042135100000003</v>
      </c>
      <c r="F214" s="1">
        <v>7</v>
      </c>
      <c r="G214" s="1">
        <v>5</v>
      </c>
      <c r="H214" s="5">
        <f t="shared" si="3"/>
        <v>424.1554082992605</v>
      </c>
    </row>
    <row r="215" spans="1:8" x14ac:dyDescent="0.2">
      <c r="A215" s="5">
        <f>424.52569</f>
        <v>424.52569</v>
      </c>
      <c r="B215" s="3">
        <f>9000000</f>
        <v>9000000</v>
      </c>
      <c r="C215" s="1" t="s">
        <v>15</v>
      </c>
      <c r="D215" s="5">
        <f>2.85805275</f>
        <v>2.8580527500000001</v>
      </c>
      <c r="E215" s="5">
        <f>5.77776507</f>
        <v>5.7777650700000001</v>
      </c>
      <c r="F215" s="1">
        <v>1</v>
      </c>
      <c r="G215" s="1">
        <v>3</v>
      </c>
      <c r="H215" s="5">
        <f t="shared" si="3"/>
        <v>424.29953656176065</v>
      </c>
    </row>
    <row r="216" spans="1:8" x14ac:dyDescent="0.2">
      <c r="A216" s="5">
        <f>424.53441</f>
        <v>424.53440999999998</v>
      </c>
      <c r="B216" s="3">
        <f>1010000</f>
        <v>1010000</v>
      </c>
      <c r="C216" s="1" t="s">
        <v>6</v>
      </c>
      <c r="D216" s="5">
        <f>3.33201954</f>
        <v>3.3320195400000001</v>
      </c>
      <c r="E216" s="5">
        <f>6.25167222</f>
        <v>6.2516722199999997</v>
      </c>
      <c r="F216" s="1">
        <v>11</v>
      </c>
      <c r="G216" s="1">
        <v>9</v>
      </c>
      <c r="H216" s="5">
        <f t="shared" si="3"/>
        <v>424.30820376540919</v>
      </c>
    </row>
    <row r="217" spans="1:8" x14ac:dyDescent="0.2">
      <c r="A217" s="5">
        <f>424.60847</f>
        <v>424.60847000000001</v>
      </c>
      <c r="B217" s="3">
        <f>5850000</f>
        <v>5850000</v>
      </c>
      <c r="C217" s="1" t="s">
        <v>6</v>
      </c>
      <c r="D217" s="5">
        <f>3.64164057</f>
        <v>3.6416405699999999</v>
      </c>
      <c r="E217" s="5">
        <f>6.56078442</f>
        <v>6.5607844200000001</v>
      </c>
      <c r="F217" s="1">
        <v>7</v>
      </c>
      <c r="G217" s="1">
        <v>5</v>
      </c>
      <c r="H217" s="5">
        <f t="shared" si="3"/>
        <v>424.38216406144659</v>
      </c>
    </row>
    <row r="218" spans="1:8" x14ac:dyDescent="0.2">
      <c r="A218" s="5">
        <f>424.73058</f>
        <v>424.73057999999997</v>
      </c>
      <c r="B218" s="3">
        <f>102000</f>
        <v>102000</v>
      </c>
      <c r="C218" s="1" t="s">
        <v>6</v>
      </c>
      <c r="D218" s="5">
        <f>2.45343044</f>
        <v>2.45343044</v>
      </c>
      <c r="E218" s="5">
        <f>5.37173492</f>
        <v>5.3717349199999997</v>
      </c>
      <c r="F218" s="1">
        <v>9</v>
      </c>
      <c r="G218" s="1">
        <v>7</v>
      </c>
      <c r="H218" s="5">
        <f t="shared" si="3"/>
        <v>424.50422591602336</v>
      </c>
    </row>
    <row r="219" spans="1:8" x14ac:dyDescent="0.2">
      <c r="A219" s="5">
        <f>424.74253</f>
        <v>424.74252999999999</v>
      </c>
      <c r="B219" s="3">
        <f>19400000</f>
        <v>19400000</v>
      </c>
      <c r="C219" s="1" t="s">
        <v>13</v>
      </c>
      <c r="D219" s="5">
        <f>3.3682564</f>
        <v>3.3682563999999999</v>
      </c>
      <c r="E219" s="5">
        <f>6.28647868</f>
        <v>6.2864786800000001</v>
      </c>
      <c r="F219" s="1">
        <v>9</v>
      </c>
      <c r="G219" s="1">
        <v>11</v>
      </c>
      <c r="H219" s="5">
        <f t="shared" si="3"/>
        <v>424.5161832804809</v>
      </c>
    </row>
    <row r="220" spans="1:8" x14ac:dyDescent="0.2">
      <c r="A220" s="5">
        <f>424.82238</f>
        <v>424.82238000000001</v>
      </c>
      <c r="B220" s="3">
        <f>3820000</f>
        <v>3820000</v>
      </c>
      <c r="C220" s="1" t="s">
        <v>6</v>
      </c>
      <c r="D220" s="5">
        <f>3.0713388</f>
        <v>3.0713387999999999</v>
      </c>
      <c r="E220" s="5">
        <f>5.98901244</f>
        <v>5.9890124399999998</v>
      </c>
      <c r="F220" s="1">
        <v>3</v>
      </c>
      <c r="G220" s="1">
        <v>5</v>
      </c>
      <c r="H220" s="5">
        <f t="shared" si="3"/>
        <v>424.59600939797468</v>
      </c>
    </row>
    <row r="221" spans="1:8" x14ac:dyDescent="0.2">
      <c r="A221" s="5">
        <f>425.01192</f>
        <v>425.01191999999998</v>
      </c>
      <c r="B221" s="3">
        <f>20700000</f>
        <v>20700000</v>
      </c>
      <c r="C221" s="1" t="s">
        <v>13</v>
      </c>
      <c r="D221" s="5">
        <f>2.46883473</f>
        <v>2.4688347300000002</v>
      </c>
      <c r="E221" s="5">
        <f>5.38520741</f>
        <v>5.3852074099999996</v>
      </c>
      <c r="F221" s="1">
        <v>5</v>
      </c>
      <c r="G221" s="1">
        <v>7</v>
      </c>
      <c r="H221" s="5">
        <f t="shared" si="3"/>
        <v>424.78541674915954</v>
      </c>
    </row>
    <row r="222" spans="1:8" x14ac:dyDescent="0.2">
      <c r="A222" s="5">
        <f>425.07866</f>
        <v>425.07866000000001</v>
      </c>
      <c r="B222" s="3">
        <f>10200000</f>
        <v>10200000</v>
      </c>
      <c r="C222" s="1" t="s">
        <v>14</v>
      </c>
      <c r="D222" s="5">
        <f>1.55735733</f>
        <v>1.5573573300000001</v>
      </c>
      <c r="E222" s="5">
        <f>4.47327202</f>
        <v>4.4732720199999996</v>
      </c>
      <c r="F222" s="1">
        <v>7</v>
      </c>
      <c r="G222" s="1">
        <v>7</v>
      </c>
      <c r="H222" s="5">
        <f t="shared" si="3"/>
        <v>424.85213594148848</v>
      </c>
    </row>
    <row r="223" spans="1:8" x14ac:dyDescent="0.2">
      <c r="A223" s="5">
        <f>425.4945</f>
        <v>425.49450000000002</v>
      </c>
      <c r="B223" s="3">
        <f>143000</f>
        <v>143000</v>
      </c>
      <c r="C223" s="1" t="s">
        <v>6</v>
      </c>
      <c r="D223" s="5">
        <f>3.01762252</f>
        <v>3.0176225200000002</v>
      </c>
      <c r="E223" s="5">
        <f>5.93068755</f>
        <v>5.93068755</v>
      </c>
      <c r="F223" s="1">
        <v>7</v>
      </c>
      <c r="G223" s="1">
        <v>7</v>
      </c>
      <c r="H223" s="5">
        <f t="shared" si="3"/>
        <v>425.26774085426547</v>
      </c>
    </row>
    <row r="224" spans="1:8" x14ac:dyDescent="0.2">
      <c r="A224" s="5">
        <f>425.55001</f>
        <v>425.55000999999999</v>
      </c>
      <c r="B224" s="3">
        <f>713000</f>
        <v>713000</v>
      </c>
      <c r="C224" s="1" t="s">
        <v>15</v>
      </c>
      <c r="D224" s="5">
        <f>3.01762252</f>
        <v>3.0176225200000002</v>
      </c>
      <c r="E224" s="5">
        <f>5.93030716</f>
        <v>5.9303071599999999</v>
      </c>
      <c r="F224" s="1">
        <v>7</v>
      </c>
      <c r="G224" s="1">
        <v>5</v>
      </c>
      <c r="H224" s="5">
        <f t="shared" si="3"/>
        <v>425.32327985554355</v>
      </c>
    </row>
    <row r="225" spans="1:8" x14ac:dyDescent="0.2">
      <c r="A225" s="5">
        <f>425.83156</f>
        <v>425.83156000000002</v>
      </c>
      <c r="B225" s="3">
        <f>2540</f>
        <v>2540</v>
      </c>
      <c r="C225" s="1" t="s">
        <v>11</v>
      </c>
      <c r="D225" s="5">
        <f>0.08728574</f>
        <v>8.7285740000000001E-2</v>
      </c>
      <c r="E225" s="5">
        <f>2.99804479</f>
        <v>2.9980447899999998</v>
      </c>
      <c r="F225" s="1">
        <v>5</v>
      </c>
      <c r="G225" s="1">
        <v>7</v>
      </c>
      <c r="H225" s="5">
        <f t="shared" si="3"/>
        <v>425.6046491617584</v>
      </c>
    </row>
    <row r="226" spans="1:8" x14ac:dyDescent="0.2">
      <c r="A226" s="5">
        <f>425.86109</f>
        <v>425.86108999999999</v>
      </c>
      <c r="B226" s="3">
        <f>800000</f>
        <v>800000</v>
      </c>
      <c r="C226" s="1" t="s">
        <v>12</v>
      </c>
      <c r="D226" s="5">
        <f>2.83159117</f>
        <v>2.8315911699999998</v>
      </c>
      <c r="E226" s="5">
        <f>5.74214676</f>
        <v>5.7421467599999998</v>
      </c>
      <c r="F226" s="1">
        <v>5</v>
      </c>
      <c r="G226" s="1">
        <v>5</v>
      </c>
      <c r="H226" s="5">
        <f t="shared" si="3"/>
        <v>425.63440070548972</v>
      </c>
    </row>
    <row r="227" spans="1:8" x14ac:dyDescent="0.2">
      <c r="A227" s="5">
        <f>425.89514</f>
        <v>425.89514000000003</v>
      </c>
      <c r="B227" s="3">
        <f>234000</f>
        <v>234000</v>
      </c>
      <c r="C227" s="1" t="s">
        <v>6</v>
      </c>
      <c r="D227" s="5">
        <f>3.01762252</f>
        <v>3.0176225200000002</v>
      </c>
      <c r="E227" s="5">
        <f>5.92794713</f>
        <v>5.9279471299999997</v>
      </c>
      <c r="F227" s="1">
        <v>7</v>
      </c>
      <c r="G227" s="1">
        <v>9</v>
      </c>
      <c r="H227" s="5">
        <f t="shared" si="3"/>
        <v>425.66818148497299</v>
      </c>
    </row>
    <row r="228" spans="1:8" x14ac:dyDescent="0.2">
      <c r="A228" s="5">
        <f>425.9336</f>
        <v>425.93360000000001</v>
      </c>
      <c r="B228" s="3">
        <f>41900</f>
        <v>41900</v>
      </c>
      <c r="C228" s="1" t="s">
        <v>15</v>
      </c>
      <c r="D228" s="5">
        <f>2.99035244</f>
        <v>2.9903524400000001</v>
      </c>
      <c r="E228" s="5">
        <f>5.90041395</f>
        <v>5.9004139499999999</v>
      </c>
      <c r="F228" s="1">
        <v>9</v>
      </c>
      <c r="G228" s="1">
        <v>9</v>
      </c>
      <c r="H228" s="5">
        <f t="shared" si="3"/>
        <v>425.70666634110535</v>
      </c>
    </row>
    <row r="229" spans="1:8" x14ac:dyDescent="0.2">
      <c r="A229" s="5">
        <f>425.99989</f>
        <v>425.99988999999999</v>
      </c>
      <c r="B229" s="3">
        <f>1570000</f>
        <v>1570000</v>
      </c>
      <c r="C229" s="1" t="s">
        <v>12</v>
      </c>
      <c r="D229" s="5">
        <f>3.33201954</f>
        <v>3.3320195400000001</v>
      </c>
      <c r="E229" s="5">
        <f>6.24162851</f>
        <v>6.24162851</v>
      </c>
      <c r="F229" s="1">
        <v>11</v>
      </c>
      <c r="G229" s="1">
        <v>13</v>
      </c>
      <c r="H229" s="5">
        <f t="shared" si="3"/>
        <v>425.77287774503355</v>
      </c>
    </row>
    <row r="230" spans="1:8" x14ac:dyDescent="0.2">
      <c r="A230" s="5">
        <f>426.01349</f>
        <v>426.01348999999999</v>
      </c>
      <c r="B230" s="3">
        <f>2200000</f>
        <v>2200000</v>
      </c>
      <c r="C230" s="1" t="s">
        <v>6</v>
      </c>
      <c r="D230" s="5">
        <f>3.0713388</f>
        <v>3.0713387999999999</v>
      </c>
      <c r="E230" s="5">
        <f>5.98085478</f>
        <v>5.9808547799999996</v>
      </c>
      <c r="F230" s="1">
        <v>3</v>
      </c>
      <c r="G230" s="1">
        <v>5</v>
      </c>
      <c r="H230" s="5">
        <f t="shared" si="3"/>
        <v>425.78648571975305</v>
      </c>
    </row>
    <row r="231" spans="1:8" x14ac:dyDescent="0.2">
      <c r="A231" s="5">
        <f>426.04741</f>
        <v>426.04741000000001</v>
      </c>
      <c r="B231" s="3">
        <f>39900000</f>
        <v>39900000</v>
      </c>
      <c r="C231" s="1" t="s">
        <v>13</v>
      </c>
      <c r="D231" s="5">
        <f>2.39920471</f>
        <v>2.3992047099999998</v>
      </c>
      <c r="E231" s="5">
        <f>5.30848946</f>
        <v>5.3084894599999997</v>
      </c>
      <c r="F231" s="1">
        <v>11</v>
      </c>
      <c r="G231" s="1">
        <v>11</v>
      </c>
      <c r="H231" s="5">
        <f t="shared" si="3"/>
        <v>425.82032723667322</v>
      </c>
    </row>
    <row r="232" spans="1:8" x14ac:dyDescent="0.2">
      <c r="A232" s="5">
        <f>426.42032</f>
        <v>426.42032</v>
      </c>
      <c r="B232" s="3">
        <f>1620000</f>
        <v>1620000</v>
      </c>
      <c r="C232" s="1" t="s">
        <v>6</v>
      </c>
      <c r="D232" s="5">
        <f>3.3682564</f>
        <v>3.3682563999999999</v>
      </c>
      <c r="E232" s="5">
        <f>6.27499663</f>
        <v>6.2749966300000004</v>
      </c>
      <c r="F232" s="1">
        <v>9</v>
      </c>
      <c r="G232" s="1">
        <v>7</v>
      </c>
      <c r="H232" s="5">
        <f t="shared" si="3"/>
        <v>426.19308443316339</v>
      </c>
    </row>
    <row r="233" spans="1:8" x14ac:dyDescent="0.2">
      <c r="A233" s="5">
        <f>426.69642</f>
        <v>426.69641999999999</v>
      </c>
      <c r="B233" s="3">
        <f>627000</f>
        <v>627000</v>
      </c>
      <c r="C233" s="1" t="s">
        <v>14</v>
      </c>
      <c r="D233" s="5">
        <f>2.7275445</f>
        <v>2.7275445</v>
      </c>
      <c r="E233" s="5">
        <f>5.63240401</f>
        <v>5.6324040100000001</v>
      </c>
      <c r="F233" s="1">
        <v>9</v>
      </c>
      <c r="G233" s="1">
        <v>9</v>
      </c>
      <c r="H233" s="5">
        <f t="shared" si="3"/>
        <v>426.4690185549328</v>
      </c>
    </row>
    <row r="234" spans="1:8" x14ac:dyDescent="0.2">
      <c r="A234" s="5">
        <f>426.78262</f>
        <v>426.78262000000001</v>
      </c>
      <c r="B234" s="3">
        <f>8170000</f>
        <v>8170000</v>
      </c>
      <c r="C234" s="1" t="s">
        <v>13</v>
      </c>
      <c r="D234" s="5">
        <f>3.11096179</f>
        <v>3.1109617900000002</v>
      </c>
      <c r="E234" s="5">
        <f>6.01523448</f>
        <v>6.0152344800000002</v>
      </c>
      <c r="F234" s="1">
        <v>1</v>
      </c>
      <c r="G234" s="1">
        <v>3</v>
      </c>
      <c r="H234" s="5">
        <f t="shared" si="3"/>
        <v>426.55518833862084</v>
      </c>
    </row>
    <row r="235" spans="1:8" x14ac:dyDescent="0.2">
      <c r="A235" s="5">
        <f>426.87485</f>
        <v>426.87484999999998</v>
      </c>
      <c r="B235" s="3">
        <f>3300000</f>
        <v>3300000</v>
      </c>
      <c r="C235" s="1" t="s">
        <v>6</v>
      </c>
      <c r="D235" s="5">
        <f>3.30092244</f>
        <v>3.3009224399999999</v>
      </c>
      <c r="E235" s="5">
        <f>6.20456765</f>
        <v>6.2045676500000004</v>
      </c>
      <c r="F235" s="1">
        <v>5</v>
      </c>
      <c r="G235" s="1">
        <v>3</v>
      </c>
      <c r="H235" s="5">
        <f t="shared" si="3"/>
        <v>426.6473672483088</v>
      </c>
    </row>
    <row r="236" spans="1:8" x14ac:dyDescent="0.2">
      <c r="A236" s="5">
        <f>427.11535</f>
        <v>427.11534999999998</v>
      </c>
      <c r="B236" s="3">
        <f>18200000</f>
        <v>18200000</v>
      </c>
      <c r="C236" s="1" t="s">
        <v>13</v>
      </c>
      <c r="D236" s="5">
        <f>2.44955978</f>
        <v>2.44955978</v>
      </c>
      <c r="E236" s="5">
        <f>5.35157038</f>
        <v>5.3515703800000001</v>
      </c>
      <c r="F236" s="1">
        <v>7</v>
      </c>
      <c r="G236" s="1">
        <v>9</v>
      </c>
      <c r="H236" s="5">
        <f t="shared" si="3"/>
        <v>426.88768410069309</v>
      </c>
    </row>
    <row r="237" spans="1:8" x14ac:dyDescent="0.2">
      <c r="A237" s="5">
        <f>427.17602</f>
        <v>427.17601999999999</v>
      </c>
      <c r="B237" s="3">
        <f>22800000</f>
        <v>22800000</v>
      </c>
      <c r="C237" s="1" t="s">
        <v>11</v>
      </c>
      <c r="D237" s="5">
        <f>1.48486439</f>
        <v>1.48486439</v>
      </c>
      <c r="E237" s="5">
        <f>4.38646275</f>
        <v>4.3864627499999997</v>
      </c>
      <c r="F237" s="1">
        <v>9</v>
      </c>
      <c r="G237" s="1">
        <v>11</v>
      </c>
      <c r="H237" s="5">
        <f t="shared" si="3"/>
        <v>426.94833349356566</v>
      </c>
    </row>
    <row r="238" spans="1:8" x14ac:dyDescent="0.2">
      <c r="A238" s="5">
        <f>427.5698</f>
        <v>427.56979999999999</v>
      </c>
      <c r="B238" s="3">
        <f>55900</f>
        <v>55900</v>
      </c>
      <c r="C238" s="1" t="s">
        <v>15</v>
      </c>
      <c r="D238" s="5">
        <f>2.55917148</f>
        <v>2.5591714799999998</v>
      </c>
      <c r="E238" s="5">
        <f>5.45809748</f>
        <v>5.4580974800000002</v>
      </c>
      <c r="F238" s="1">
        <v>9</v>
      </c>
      <c r="G238" s="1">
        <v>9</v>
      </c>
      <c r="H238" s="5">
        <f t="shared" si="3"/>
        <v>427.34191361547789</v>
      </c>
    </row>
    <row r="239" spans="1:8" x14ac:dyDescent="0.2">
      <c r="A239" s="5">
        <f>427.66758</f>
        <v>427.66757999999999</v>
      </c>
      <c r="B239" s="3">
        <f>2600000</f>
        <v>2600000</v>
      </c>
      <c r="C239" s="1" t="s">
        <v>12</v>
      </c>
      <c r="D239" s="5">
        <f>3.88160368</f>
        <v>3.88160368</v>
      </c>
      <c r="E239" s="5">
        <f>6.77986785</f>
        <v>6.7798678499999996</v>
      </c>
      <c r="F239" s="1">
        <v>9</v>
      </c>
      <c r="G239" s="1">
        <v>9</v>
      </c>
      <c r="H239" s="5">
        <f t="shared" si="3"/>
        <v>427.43949881893036</v>
      </c>
    </row>
    <row r="240" spans="1:8" x14ac:dyDescent="0.2">
      <c r="A240" s="5">
        <f>427.82311</f>
        <v>427.82310999999999</v>
      </c>
      <c r="B240" s="3">
        <f>1000000</f>
        <v>1000000</v>
      </c>
      <c r="C240" s="1" t="s">
        <v>12</v>
      </c>
      <c r="D240" s="5">
        <f>3.3682564</f>
        <v>3.3682563999999999</v>
      </c>
      <c r="E240" s="5">
        <f>6.26546671</f>
        <v>6.2654667100000001</v>
      </c>
      <c r="F240" s="1">
        <v>9</v>
      </c>
      <c r="G240" s="1">
        <v>7</v>
      </c>
      <c r="H240" s="5">
        <f t="shared" si="3"/>
        <v>427.59497989970322</v>
      </c>
    </row>
    <row r="241" spans="1:8" x14ac:dyDescent="0.2">
      <c r="A241" s="5">
        <f>427.9488</f>
        <v>427.94880000000001</v>
      </c>
      <c r="B241" s="3">
        <f>1500000</f>
        <v>1500000</v>
      </c>
      <c r="C241" s="1" t="s">
        <v>12</v>
      </c>
      <c r="D241" s="5">
        <f>3.88350907</f>
        <v>3.8835090700000001</v>
      </c>
      <c r="E241" s="5">
        <f>6.77986785</f>
        <v>6.7798678499999996</v>
      </c>
      <c r="F241" s="1">
        <v>7</v>
      </c>
      <c r="G241" s="1">
        <v>9</v>
      </c>
      <c r="H241" s="5">
        <f t="shared" si="3"/>
        <v>427.72069290036751</v>
      </c>
    </row>
    <row r="242" spans="1:8" x14ac:dyDescent="0.2">
      <c r="A242" s="5">
        <f>427.987</f>
        <v>427.98700000000002</v>
      </c>
      <c r="B242" s="3">
        <f>650000</f>
        <v>650000</v>
      </c>
      <c r="C242" s="1" t="s">
        <v>12</v>
      </c>
      <c r="D242" s="5">
        <f>2.85805275</f>
        <v>2.8580527500000001</v>
      </c>
      <c r="E242" s="5">
        <f>5.75415389</f>
        <v>5.7541538900000004</v>
      </c>
      <c r="F242" s="1">
        <v>1</v>
      </c>
      <c r="G242" s="1">
        <v>3</v>
      </c>
      <c r="H242" s="5">
        <f t="shared" si="3"/>
        <v>427.7587433530249</v>
      </c>
    </row>
    <row r="243" spans="1:8" x14ac:dyDescent="0.2">
      <c r="A243" s="5">
        <f>428.0539</f>
        <v>428.0539</v>
      </c>
      <c r="B243" s="3">
        <f>310000</f>
        <v>310000</v>
      </c>
      <c r="C243" s="1" t="s">
        <v>10</v>
      </c>
      <c r="D243" s="5">
        <f>3.23672008</f>
        <v>3.23672008</v>
      </c>
      <c r="E243" s="5">
        <f>6.13237029</f>
        <v>6.1323702899999999</v>
      </c>
      <c r="F243" s="1">
        <v>13</v>
      </c>
      <c r="G243" s="1">
        <v>11</v>
      </c>
      <c r="H243" s="5">
        <f t="shared" si="3"/>
        <v>427.82535680290709</v>
      </c>
    </row>
    <row r="244" spans="1:8" x14ac:dyDescent="0.2">
      <c r="A244" s="5">
        <f>428.24026</f>
        <v>428.24025999999998</v>
      </c>
      <c r="B244" s="3">
        <f>12100000</f>
        <v>12100000</v>
      </c>
      <c r="C244" s="1" t="s">
        <v>14</v>
      </c>
      <c r="D244" s="5">
        <f>2.17594512</f>
        <v>2.1759451200000002</v>
      </c>
      <c r="E244" s="5">
        <f>5.07033256</f>
        <v>5.0703325599999998</v>
      </c>
      <c r="F244" s="1">
        <v>7</v>
      </c>
      <c r="G244" s="1">
        <v>5</v>
      </c>
      <c r="H244" s="5">
        <f t="shared" si="3"/>
        <v>428.01200943217992</v>
      </c>
    </row>
    <row r="245" spans="1:8" x14ac:dyDescent="0.2">
      <c r="A245" s="5">
        <f>428.4405</f>
        <v>428.44049999999999</v>
      </c>
      <c r="B245" s="3">
        <f>110000</f>
        <v>110000</v>
      </c>
      <c r="C245" s="1" t="s">
        <v>10</v>
      </c>
      <c r="D245" s="5">
        <f>2.99035244</f>
        <v>2.9903524400000001</v>
      </c>
      <c r="E245" s="5">
        <f>5.88338708</f>
        <v>5.8833870800000003</v>
      </c>
      <c r="F245" s="1">
        <v>9</v>
      </c>
      <c r="G245" s="1">
        <v>9</v>
      </c>
      <c r="H245" s="5">
        <f t="shared" si="3"/>
        <v>428.21215036321269</v>
      </c>
    </row>
    <row r="246" spans="1:8" x14ac:dyDescent="0.2">
      <c r="A246" s="5">
        <f>428.54417</f>
        <v>428.54417000000001</v>
      </c>
      <c r="B246" s="3">
        <f>1780000</f>
        <v>1780000</v>
      </c>
      <c r="C246" s="1" t="s">
        <v>15</v>
      </c>
      <c r="D246" s="5">
        <f>3.23672008</f>
        <v>3.23672008</v>
      </c>
      <c r="E246" s="5">
        <f>6.12905507</f>
        <v>6.1290550699999997</v>
      </c>
      <c r="F246" s="1">
        <v>13</v>
      </c>
      <c r="G246" s="1">
        <v>13</v>
      </c>
      <c r="H246" s="5">
        <f t="shared" si="3"/>
        <v>428.31573401864597</v>
      </c>
    </row>
    <row r="247" spans="1:8" x14ac:dyDescent="0.2">
      <c r="A247" s="5">
        <f>428.5822</f>
        <v>428.5822</v>
      </c>
      <c r="B247" s="3">
        <f>1300000</f>
        <v>1300000</v>
      </c>
      <c r="C247" s="1" t="s">
        <v>12</v>
      </c>
      <c r="D247" s="5">
        <f>3.63977237</f>
        <v>3.6397723700000002</v>
      </c>
      <c r="E247" s="5">
        <f>6.53184961</f>
        <v>6.5318496100000001</v>
      </c>
      <c r="F247" s="1">
        <v>5</v>
      </c>
      <c r="G247" s="1">
        <v>5</v>
      </c>
      <c r="H247" s="5">
        <f t="shared" si="3"/>
        <v>428.35390671296977</v>
      </c>
    </row>
    <row r="248" spans="1:8" x14ac:dyDescent="0.2">
      <c r="A248" s="5">
        <f>428.6434</f>
        <v>428.64339999999999</v>
      </c>
      <c r="B248" s="3">
        <f>170000</f>
        <v>170000</v>
      </c>
      <c r="C248" s="1" t="s">
        <v>12</v>
      </c>
      <c r="D248" s="5">
        <f>2.94879294</f>
        <v>2.9487929400000001</v>
      </c>
      <c r="E248" s="5">
        <f>5.84045966</f>
        <v>5.8404596599999996</v>
      </c>
      <c r="F248" s="1">
        <v>11</v>
      </c>
      <c r="G248" s="1">
        <v>9</v>
      </c>
      <c r="H248" s="5">
        <f t="shared" si="3"/>
        <v>428.41471864698957</v>
      </c>
    </row>
    <row r="249" spans="1:8" x14ac:dyDescent="0.2">
      <c r="A249" s="5">
        <f>428.81455</f>
        <v>428.81455</v>
      </c>
      <c r="B249" s="3">
        <f>449000</f>
        <v>449000</v>
      </c>
      <c r="C249" s="1" t="s">
        <v>14</v>
      </c>
      <c r="D249" s="5">
        <f>2.75857762</f>
        <v>2.7585776200000001</v>
      </c>
      <c r="E249" s="5">
        <f>5.64908881</f>
        <v>5.6490888100000003</v>
      </c>
      <c r="F249" s="1">
        <v>7</v>
      </c>
      <c r="G249" s="1">
        <v>7</v>
      </c>
      <c r="H249" s="5">
        <f t="shared" si="3"/>
        <v>428.58598456754731</v>
      </c>
    </row>
    <row r="250" spans="1:8" x14ac:dyDescent="0.2">
      <c r="A250" s="5">
        <f>428.8956</f>
        <v>428.8956</v>
      </c>
      <c r="B250" s="3">
        <f>292000</f>
        <v>292000</v>
      </c>
      <c r="C250" s="1" t="s">
        <v>5</v>
      </c>
      <c r="D250" s="5">
        <f>2.58810592</f>
        <v>2.5881059199999998</v>
      </c>
      <c r="E250" s="5">
        <f>5.4780717</f>
        <v>5.4780717000000001</v>
      </c>
      <c r="F250" s="1">
        <v>7</v>
      </c>
      <c r="G250" s="1">
        <v>5</v>
      </c>
      <c r="H250" s="5">
        <f t="shared" si="3"/>
        <v>428.66686963665808</v>
      </c>
    </row>
    <row r="251" spans="1:8" x14ac:dyDescent="0.2">
      <c r="A251" s="5">
        <f>429.03786</f>
        <v>429.03786000000002</v>
      </c>
      <c r="B251" s="3">
        <f>629000</f>
        <v>629000</v>
      </c>
      <c r="C251" s="1" t="s">
        <v>6</v>
      </c>
      <c r="D251" s="5">
        <f>2.99035244</f>
        <v>2.9903524400000001</v>
      </c>
      <c r="E251" s="5">
        <f>5.87935896</f>
        <v>5.8793589600000002</v>
      </c>
      <c r="F251" s="1">
        <v>9</v>
      </c>
      <c r="G251" s="1">
        <v>11</v>
      </c>
      <c r="H251" s="5">
        <f t="shared" si="3"/>
        <v>428.80920333459926</v>
      </c>
    </row>
    <row r="252" spans="1:8" x14ac:dyDescent="0.2">
      <c r="A252" s="5">
        <f>429.08644</f>
        <v>429.08643999999998</v>
      </c>
      <c r="B252" s="3">
        <f>383000</f>
        <v>383000</v>
      </c>
      <c r="C252" s="1" t="s">
        <v>6</v>
      </c>
      <c r="D252" s="5">
        <f>2.83159117</f>
        <v>2.8315911699999998</v>
      </c>
      <c r="E252" s="5">
        <f>5.72027099</f>
        <v>5.7202709900000004</v>
      </c>
      <c r="F252" s="1">
        <v>5</v>
      </c>
      <c r="G252" s="1">
        <v>7</v>
      </c>
      <c r="H252" s="5">
        <f t="shared" si="3"/>
        <v>428.85770021741723</v>
      </c>
    </row>
    <row r="253" spans="1:8" x14ac:dyDescent="0.2">
      <c r="A253" s="5">
        <f>429.14634</f>
        <v>429.14634000000001</v>
      </c>
      <c r="B253" s="3">
        <f>3350</f>
        <v>3350</v>
      </c>
      <c r="C253" s="1" t="s">
        <v>13</v>
      </c>
      <c r="D253" s="5">
        <f>0.05156912</f>
        <v>5.1569120000000003E-2</v>
      </c>
      <c r="E253" s="5">
        <f>2.93984587</f>
        <v>2.9398458700000001</v>
      </c>
      <c r="F253" s="1">
        <v>7</v>
      </c>
      <c r="G253" s="1">
        <v>9</v>
      </c>
      <c r="H253" s="5">
        <f t="shared" si="3"/>
        <v>428.91754893974854</v>
      </c>
    </row>
    <row r="254" spans="1:8" x14ac:dyDescent="0.2">
      <c r="A254" s="5">
        <f>429.41245</f>
        <v>429.41244999999998</v>
      </c>
      <c r="B254" s="3">
        <f>3120000</f>
        <v>3120000</v>
      </c>
      <c r="C254" s="1" t="s">
        <v>14</v>
      </c>
      <c r="D254" s="5">
        <f>1.48486439</f>
        <v>1.48486439</v>
      </c>
      <c r="E254" s="5">
        <f>4.37135106</f>
        <v>4.3713510600000003</v>
      </c>
      <c r="F254" s="1">
        <v>9</v>
      </c>
      <c r="G254" s="1">
        <v>9</v>
      </c>
      <c r="H254" s="5">
        <f t="shared" si="3"/>
        <v>429.18354591592936</v>
      </c>
    </row>
    <row r="255" spans="1:8" x14ac:dyDescent="0.2">
      <c r="A255" s="5">
        <f>429.80362</f>
        <v>429.80362000000002</v>
      </c>
      <c r="B255" s="3">
        <f>1230000</f>
        <v>1230000</v>
      </c>
      <c r="C255" s="1" t="s">
        <v>13</v>
      </c>
      <c r="D255" s="5">
        <f>3.0468689</f>
        <v>3.0468689000000002</v>
      </c>
      <c r="E255" s="5">
        <f>5.93072834</f>
        <v>5.9307283399999999</v>
      </c>
      <c r="F255" s="1">
        <v>9</v>
      </c>
      <c r="G255" s="1">
        <v>11</v>
      </c>
      <c r="H255" s="5">
        <f t="shared" si="3"/>
        <v>429.57453719369312</v>
      </c>
    </row>
    <row r="256" spans="1:8" x14ac:dyDescent="0.2">
      <c r="A256" s="5">
        <f>429.9235</f>
        <v>429.92349999999999</v>
      </c>
      <c r="B256" s="3">
        <f>12900000</f>
        <v>12900000</v>
      </c>
      <c r="C256" s="1" t="s">
        <v>14</v>
      </c>
      <c r="D256" s="5">
        <f>2.42543332</f>
        <v>2.4254333199999998</v>
      </c>
      <c r="E256" s="5">
        <f>5.30848946</f>
        <v>5.3084894599999997</v>
      </c>
      <c r="F256" s="1">
        <v>9</v>
      </c>
      <c r="G256" s="1">
        <v>11</v>
      </c>
      <c r="H256" s="5">
        <f t="shared" si="3"/>
        <v>429.69422866308219</v>
      </c>
    </row>
    <row r="257" spans="1:8" x14ac:dyDescent="0.2">
      <c r="A257" s="5">
        <f>429.96283</f>
        <v>429.96283</v>
      </c>
      <c r="B257" s="3">
        <f>265000</f>
        <v>265000</v>
      </c>
      <c r="C257" s="1" t="s">
        <v>13</v>
      </c>
      <c r="D257" s="5">
        <f>3.01762252</f>
        <v>3.0176225200000002</v>
      </c>
      <c r="E257" s="5">
        <f>5.90041395</f>
        <v>5.9004139499999999</v>
      </c>
      <c r="F257" s="1">
        <v>7</v>
      </c>
      <c r="G257" s="1">
        <v>9</v>
      </c>
      <c r="H257" s="5">
        <f t="shared" si="3"/>
        <v>429.73368498936571</v>
      </c>
    </row>
    <row r="258" spans="1:8" x14ac:dyDescent="0.2">
      <c r="A258" s="5">
        <f>430.0206</f>
        <v>430.0206</v>
      </c>
      <c r="B258" s="3">
        <f>650000</f>
        <v>650000</v>
      </c>
      <c r="C258" s="1" t="s">
        <v>10</v>
      </c>
      <c r="D258" s="5">
        <f>3.88160368</f>
        <v>3.88160368</v>
      </c>
      <c r="E258" s="5">
        <f>6.76400977</f>
        <v>6.7640097700000004</v>
      </c>
      <c r="F258" s="1">
        <v>9</v>
      </c>
      <c r="G258" s="1">
        <v>9</v>
      </c>
      <c r="H258" s="5">
        <f t="shared" si="3"/>
        <v>429.79113476327086</v>
      </c>
    </row>
    <row r="259" spans="1:8" x14ac:dyDescent="0.2">
      <c r="A259" s="5">
        <f>430.21855</f>
        <v>430.21854999999999</v>
      </c>
      <c r="B259" s="3">
        <f>770000</f>
        <v>770000</v>
      </c>
      <c r="C259" s="1" t="s">
        <v>13</v>
      </c>
      <c r="D259" s="5">
        <f>3.0468689</f>
        <v>3.0468689000000002</v>
      </c>
      <c r="E259" s="5">
        <f>5.92794713</f>
        <v>5.9279471299999997</v>
      </c>
      <c r="F259" s="1">
        <v>9</v>
      </c>
      <c r="G259" s="1">
        <v>9</v>
      </c>
      <c r="H259" s="5">
        <f t="shared" ref="H259:H322" si="4">$J$2*$J$1/((E259-D259)*$J$3)*1000000000</f>
        <v>429.98922117767808</v>
      </c>
    </row>
    <row r="260" spans="1:8" x14ac:dyDescent="0.2">
      <c r="A260" s="5">
        <f>430.45405</f>
        <v>430.45405</v>
      </c>
      <c r="B260" s="3">
        <f>306000</f>
        <v>306000</v>
      </c>
      <c r="C260" s="1" t="s">
        <v>13</v>
      </c>
      <c r="D260" s="5">
        <f>2.94879294</f>
        <v>2.9487929400000001</v>
      </c>
      <c r="E260" s="5">
        <f>5.8282952</f>
        <v>5.8282952000000003</v>
      </c>
      <c r="F260" s="1">
        <v>11</v>
      </c>
      <c r="G260" s="1">
        <v>11</v>
      </c>
      <c r="H260" s="5">
        <f t="shared" si="4"/>
        <v>430.22455702801318</v>
      </c>
    </row>
    <row r="261" spans="1:8" x14ac:dyDescent="0.2">
      <c r="A261" s="5">
        <f>430.52067</f>
        <v>430.52067</v>
      </c>
      <c r="B261" s="3">
        <f>470000</f>
        <v>470000</v>
      </c>
      <c r="C261" s="1" t="s">
        <v>10</v>
      </c>
      <c r="D261" s="5">
        <f>3.54652001</f>
        <v>3.5465200100000001</v>
      </c>
      <c r="E261" s="5">
        <f>6.42557692</f>
        <v>6.4255769200000001</v>
      </c>
      <c r="F261" s="1">
        <v>5</v>
      </c>
      <c r="G261" s="1">
        <v>7</v>
      </c>
      <c r="H261" s="5">
        <f t="shared" si="4"/>
        <v>430.29110677414945</v>
      </c>
    </row>
    <row r="262" spans="1:8" x14ac:dyDescent="0.2">
      <c r="A262" s="5">
        <f>430.54502</f>
        <v>430.54502000000002</v>
      </c>
      <c r="B262" s="3">
        <f>5540000</f>
        <v>5540000</v>
      </c>
      <c r="C262" s="1" t="s">
        <v>6</v>
      </c>
      <c r="D262" s="5">
        <f>3.01725044</f>
        <v>3.0172504400000002</v>
      </c>
      <c r="E262" s="5">
        <f>5.89614419</f>
        <v>5.8961441900000002</v>
      </c>
      <c r="F262" s="1">
        <v>5</v>
      </c>
      <c r="G262" s="1">
        <v>3</v>
      </c>
      <c r="H262" s="5">
        <f t="shared" si="4"/>
        <v>430.31549332783226</v>
      </c>
    </row>
    <row r="263" spans="1:8" x14ac:dyDescent="0.2">
      <c r="A263" s="5">
        <f>430.7902</f>
        <v>430.79020000000003</v>
      </c>
      <c r="B263" s="3">
        <f>33800000</f>
        <v>33800000</v>
      </c>
      <c r="C263" s="1" t="s">
        <v>14</v>
      </c>
      <c r="D263" s="5">
        <f>1.55735733</f>
        <v>1.5573573300000001</v>
      </c>
      <c r="E263" s="5">
        <f>4.43461275</f>
        <v>4.4346127500000003</v>
      </c>
      <c r="F263" s="1">
        <v>7</v>
      </c>
      <c r="G263" s="1">
        <v>9</v>
      </c>
      <c r="H263" s="5">
        <f t="shared" si="4"/>
        <v>430.56051807512557</v>
      </c>
    </row>
    <row r="264" spans="1:8" x14ac:dyDescent="0.2">
      <c r="A264" s="5">
        <f>430.90304</f>
        <v>430.90303999999998</v>
      </c>
      <c r="B264" s="3">
        <f>1960000</f>
        <v>1960000</v>
      </c>
      <c r="C264" s="1" t="s">
        <v>13</v>
      </c>
      <c r="D264" s="5">
        <f>3.6343498</f>
        <v>3.6343497999999999</v>
      </c>
      <c r="E264" s="5">
        <f>6.51085164</f>
        <v>6.5108516400000003</v>
      </c>
      <c r="F264" s="1">
        <v>13</v>
      </c>
      <c r="G264" s="1">
        <v>13</v>
      </c>
      <c r="H264" s="5">
        <f t="shared" si="4"/>
        <v>430.67331542873711</v>
      </c>
    </row>
    <row r="265" spans="1:8" x14ac:dyDescent="0.2">
      <c r="A265" s="5">
        <f>430.93742</f>
        <v>430.93741999999997</v>
      </c>
      <c r="B265" s="3">
        <f>1780000</f>
        <v>1780000</v>
      </c>
      <c r="C265" s="1" t="s">
        <v>6</v>
      </c>
      <c r="D265" s="5">
        <f>2.94879294</f>
        <v>2.9487929400000001</v>
      </c>
      <c r="E265" s="5">
        <f>5.82506529</f>
        <v>5.8250652900000004</v>
      </c>
      <c r="F265" s="1">
        <v>11</v>
      </c>
      <c r="G265" s="1">
        <v>13</v>
      </c>
      <c r="H265" s="5">
        <f t="shared" si="4"/>
        <v>430.70767768902789</v>
      </c>
    </row>
    <row r="266" spans="1:8" x14ac:dyDescent="0.2">
      <c r="A266" s="5">
        <f>431.0374</f>
        <v>431.03739999999999</v>
      </c>
      <c r="B266" s="3">
        <f>2400000</f>
        <v>2400000</v>
      </c>
      <c r="C266" s="1" t="s">
        <v>10</v>
      </c>
      <c r="D266" s="5">
        <f>3.92860683</f>
        <v>3.9286068300000001</v>
      </c>
      <c r="E266" s="5">
        <f>6.80421351</f>
        <v>6.8042135100000003</v>
      </c>
      <c r="F266" s="1">
        <v>5</v>
      </c>
      <c r="G266" s="1">
        <v>5</v>
      </c>
      <c r="H266" s="5">
        <f t="shared" si="4"/>
        <v>430.80738158170607</v>
      </c>
    </row>
    <row r="267" spans="1:8" x14ac:dyDescent="0.2">
      <c r="A267" s="5">
        <f>431.50843</f>
        <v>431.50842999999998</v>
      </c>
      <c r="B267" s="3">
        <f>7760000</f>
        <v>7760000</v>
      </c>
      <c r="C267" s="1" t="s">
        <v>14</v>
      </c>
      <c r="D267" s="5">
        <f>2.1978664</f>
        <v>2.1978664000000001</v>
      </c>
      <c r="E267" s="5">
        <f>5.07033256</f>
        <v>5.0703325599999998</v>
      </c>
      <c r="F267" s="1">
        <v>5</v>
      </c>
      <c r="G267" s="1">
        <v>5</v>
      </c>
      <c r="H267" s="5">
        <f t="shared" si="4"/>
        <v>431.2783912029318</v>
      </c>
    </row>
    <row r="268" spans="1:8" x14ac:dyDescent="0.2">
      <c r="A268" s="5">
        <f>431.7047</f>
        <v>431.7047</v>
      </c>
      <c r="B268" s="3">
        <f>520000</f>
        <v>520000</v>
      </c>
      <c r="C268" s="1" t="s">
        <v>10</v>
      </c>
      <c r="D268" s="5">
        <f>3.54652001</f>
        <v>3.5465200100000001</v>
      </c>
      <c r="E268" s="5">
        <f>6.4176795</f>
        <v>6.4176795000000002</v>
      </c>
      <c r="F268" s="1">
        <v>5</v>
      </c>
      <c r="G268" s="1">
        <v>5</v>
      </c>
      <c r="H268" s="5">
        <f t="shared" si="4"/>
        <v>431.47466679730252</v>
      </c>
    </row>
    <row r="269" spans="1:8" x14ac:dyDescent="0.2">
      <c r="A269" s="5">
        <f>432.57616</f>
        <v>432.57616000000002</v>
      </c>
      <c r="B269" s="3">
        <f>51600000</f>
        <v>51600000</v>
      </c>
      <c r="C269" s="1" t="s">
        <v>14</v>
      </c>
      <c r="D269" s="5">
        <f>1.60789577</f>
        <v>1.6078957700000001</v>
      </c>
      <c r="E269" s="5">
        <f>4.47327202</f>
        <v>4.4732720199999996</v>
      </c>
      <c r="F269" s="1">
        <v>5</v>
      </c>
      <c r="G269" s="1">
        <v>7</v>
      </c>
      <c r="H269" s="5">
        <f t="shared" si="4"/>
        <v>432.34551981425238</v>
      </c>
    </row>
    <row r="270" spans="1:8" x14ac:dyDescent="0.2">
      <c r="A270" s="5">
        <f>432.59397</f>
        <v>432.59397000000001</v>
      </c>
      <c r="B270" s="3">
        <f>481000</f>
        <v>481000</v>
      </c>
      <c r="C270" s="1" t="s">
        <v>15</v>
      </c>
      <c r="D270" s="5">
        <f>3.26711257</f>
        <v>3.2671125700000001</v>
      </c>
      <c r="E270" s="5">
        <f>6.13237029</f>
        <v>6.1323702899999999</v>
      </c>
      <c r="F270" s="1">
        <v>11</v>
      </c>
      <c r="G270" s="1">
        <v>11</v>
      </c>
      <c r="H270" s="5">
        <f t="shared" si="4"/>
        <v>432.36340508652847</v>
      </c>
    </row>
    <row r="271" spans="1:8" x14ac:dyDescent="0.2">
      <c r="A271" s="5">
        <f>432.6753</f>
        <v>432.67529999999999</v>
      </c>
      <c r="B271" s="3">
        <f>463000</f>
        <v>463000</v>
      </c>
      <c r="C271" s="1" t="s">
        <v>5</v>
      </c>
      <c r="D271" s="5">
        <f>2.94879294</f>
        <v>2.9487929400000001</v>
      </c>
      <c r="E271" s="5">
        <f>5.81351269</f>
        <v>5.8135126899999996</v>
      </c>
      <c r="F271" s="1">
        <v>11</v>
      </c>
      <c r="G271" s="1">
        <v>9</v>
      </c>
      <c r="H271" s="5">
        <f t="shared" si="4"/>
        <v>432.44459925605747</v>
      </c>
    </row>
    <row r="272" spans="1:8" x14ac:dyDescent="0.2">
      <c r="A272" s="5">
        <f>432.70953</f>
        <v>432.70952999999997</v>
      </c>
      <c r="B272" s="3">
        <f>11200000</f>
        <v>11200000</v>
      </c>
      <c r="C272" s="1" t="s">
        <v>13</v>
      </c>
      <c r="D272" s="5">
        <f>3.54652001</f>
        <v>3.5465200100000001</v>
      </c>
      <c r="E272" s="5">
        <f>6.411013</f>
        <v>6.4110129999999996</v>
      </c>
      <c r="F272" s="1">
        <v>5</v>
      </c>
      <c r="G272" s="1">
        <v>5</v>
      </c>
      <c r="H272" s="5">
        <f t="shared" si="4"/>
        <v>432.47883258728564</v>
      </c>
    </row>
    <row r="273" spans="1:8" x14ac:dyDescent="0.2">
      <c r="A273" s="5">
        <f>432.79031</f>
        <v>432.79030999999998</v>
      </c>
      <c r="B273" s="3">
        <f>716000</f>
        <v>716000</v>
      </c>
      <c r="C273" s="1" t="s">
        <v>6</v>
      </c>
      <c r="D273" s="5">
        <f>3.30140276</f>
        <v>3.3014027600000002</v>
      </c>
      <c r="E273" s="5">
        <f>6.165361</f>
        <v>6.1653609999999999</v>
      </c>
      <c r="F273" s="1">
        <v>9</v>
      </c>
      <c r="G273" s="1">
        <v>9</v>
      </c>
      <c r="H273" s="5">
        <f t="shared" si="4"/>
        <v>432.55958378417665</v>
      </c>
    </row>
    <row r="274" spans="1:8" x14ac:dyDescent="0.2">
      <c r="A274" s="5">
        <f>433.7046</f>
        <v>433.70460000000003</v>
      </c>
      <c r="B274" s="3">
        <f>1020000</f>
        <v>1020000</v>
      </c>
      <c r="C274" s="1" t="s">
        <v>11</v>
      </c>
      <c r="D274" s="5">
        <f>1.55735733</f>
        <v>1.5573573300000001</v>
      </c>
      <c r="E274" s="5">
        <f>4.41527878</f>
        <v>4.4152787800000004</v>
      </c>
      <c r="F274" s="1">
        <v>7</v>
      </c>
      <c r="G274" s="1">
        <v>7</v>
      </c>
      <c r="H274" s="5">
        <f t="shared" si="4"/>
        <v>433.47327977459378</v>
      </c>
    </row>
    <row r="275" spans="1:8" x14ac:dyDescent="0.2">
      <c r="A275" s="5">
        <f>433.82475</f>
        <v>433.82474999999999</v>
      </c>
      <c r="B275" s="3">
        <f>79000</f>
        <v>79000</v>
      </c>
      <c r="C275" s="1" t="s">
        <v>12</v>
      </c>
      <c r="D275" s="5">
        <f>2.17594512</f>
        <v>2.1759451200000002</v>
      </c>
      <c r="E275" s="5">
        <f>5.03306811</f>
        <v>5.0330681100000003</v>
      </c>
      <c r="F275" s="1">
        <v>7</v>
      </c>
      <c r="G275" s="1">
        <v>9</v>
      </c>
      <c r="H275" s="5">
        <f t="shared" si="4"/>
        <v>433.59441949317795</v>
      </c>
    </row>
    <row r="276" spans="1:8" x14ac:dyDescent="0.2">
      <c r="A276" s="5">
        <f>434.3271</f>
        <v>434.32709999999997</v>
      </c>
      <c r="B276" s="3">
        <f>1600000</f>
        <v>1600000</v>
      </c>
      <c r="C276" s="1" t="s">
        <v>12</v>
      </c>
      <c r="D276" s="5">
        <f>3.25148176</f>
        <v>3.2514817599999999</v>
      </c>
      <c r="E276" s="5">
        <f>6.10530689</f>
        <v>6.1053068899999996</v>
      </c>
      <c r="F276" s="1">
        <v>7</v>
      </c>
      <c r="G276" s="1">
        <v>5</v>
      </c>
      <c r="H276" s="5">
        <f t="shared" si="4"/>
        <v>434.09547811700122</v>
      </c>
    </row>
    <row r="277" spans="1:8" x14ac:dyDescent="0.2">
      <c r="A277" s="5">
        <f>434.36972</f>
        <v>434.36971999999997</v>
      </c>
      <c r="B277" s="3">
        <f>621000</f>
        <v>621000</v>
      </c>
      <c r="C277" s="1" t="s">
        <v>13</v>
      </c>
      <c r="D277" s="5">
        <f>3.0468689</f>
        <v>3.0468689000000002</v>
      </c>
      <c r="E277" s="5">
        <f>5.90041395</f>
        <v>5.9004139499999999</v>
      </c>
      <c r="F277" s="1">
        <v>9</v>
      </c>
      <c r="G277" s="1">
        <v>9</v>
      </c>
      <c r="H277" s="5">
        <f t="shared" si="4"/>
        <v>434.13808528085553</v>
      </c>
    </row>
    <row r="278" spans="1:8" x14ac:dyDescent="0.2">
      <c r="A278" s="5">
        <f>434.65523</f>
        <v>434.65523000000002</v>
      </c>
      <c r="B278" s="3">
        <f>752000</f>
        <v>752000</v>
      </c>
      <c r="C278" s="1" t="s">
        <v>13</v>
      </c>
      <c r="D278" s="5">
        <f>3.30140276</f>
        <v>3.3014027600000002</v>
      </c>
      <c r="E278" s="5">
        <f>6.15307342</f>
        <v>6.1530734200000001</v>
      </c>
      <c r="F278" s="1">
        <v>9</v>
      </c>
      <c r="G278" s="1">
        <v>9</v>
      </c>
      <c r="H278" s="5">
        <f t="shared" si="4"/>
        <v>434.42344224618944</v>
      </c>
    </row>
    <row r="279" spans="1:8" x14ac:dyDescent="0.2">
      <c r="A279" s="5">
        <f>434.72333</f>
        <v>434.72332999999998</v>
      </c>
      <c r="B279" s="3">
        <f>123</f>
        <v>123</v>
      </c>
      <c r="C279" s="1" t="s">
        <v>11</v>
      </c>
      <c r="D279" s="5">
        <f>0</f>
        <v>0</v>
      </c>
      <c r="E279" s="5">
        <f>2.85122419</f>
        <v>2.8512241899999999</v>
      </c>
      <c r="F279" s="1">
        <v>9</v>
      </c>
      <c r="G279" s="1">
        <v>9</v>
      </c>
      <c r="H279" s="5">
        <f t="shared" si="4"/>
        <v>434.49146812606938</v>
      </c>
    </row>
    <row r="280" spans="1:8" x14ac:dyDescent="0.2">
      <c r="A280" s="5">
        <f>434.78323</f>
        <v>434.78323</v>
      </c>
      <c r="B280" s="3">
        <f>1700000</f>
        <v>1700000</v>
      </c>
      <c r="C280" s="1" t="s">
        <v>12</v>
      </c>
      <c r="D280" s="5">
        <f>3.60252504</f>
        <v>3.6025250400000002</v>
      </c>
      <c r="E280" s="5">
        <f>6.45335558</f>
        <v>6.4533555800000002</v>
      </c>
      <c r="F280" s="1">
        <v>7</v>
      </c>
      <c r="G280" s="1">
        <v>5</v>
      </c>
      <c r="H280" s="5">
        <f t="shared" si="4"/>
        <v>434.55146382347328</v>
      </c>
    </row>
    <row r="281" spans="1:8" x14ac:dyDescent="0.2">
      <c r="A281" s="5">
        <f>434.89363</f>
        <v>434.89362999999997</v>
      </c>
      <c r="B281" s="3">
        <f>282000</f>
        <v>282000</v>
      </c>
      <c r="C281" s="1" t="s">
        <v>15</v>
      </c>
      <c r="D281" s="5">
        <f>2.99035244</f>
        <v>2.9903524400000001</v>
      </c>
      <c r="E281" s="5">
        <f>5.84045966</f>
        <v>5.8404596599999996</v>
      </c>
      <c r="F281" s="1">
        <v>9</v>
      </c>
      <c r="G281" s="1">
        <v>9</v>
      </c>
      <c r="H281" s="5">
        <f t="shared" si="4"/>
        <v>434.66174731126898</v>
      </c>
    </row>
    <row r="282" spans="1:8" x14ac:dyDescent="0.2">
      <c r="A282" s="5">
        <f>435.15436</f>
        <v>435.15436</v>
      </c>
      <c r="B282" s="3">
        <f>939000</f>
        <v>939000</v>
      </c>
      <c r="C282" s="1" t="s">
        <v>13</v>
      </c>
      <c r="D282" s="5">
        <f>2.99035244</f>
        <v>2.9903524400000001</v>
      </c>
      <c r="E282" s="5">
        <f>5.83875215</f>
        <v>5.8387521500000004</v>
      </c>
      <c r="F282" s="1">
        <v>9</v>
      </c>
      <c r="G282" s="1">
        <v>7</v>
      </c>
      <c r="H282" s="5">
        <f t="shared" si="4"/>
        <v>434.92231091038229</v>
      </c>
    </row>
    <row r="283" spans="1:8" x14ac:dyDescent="0.2">
      <c r="A283" s="5">
        <f>435.27344</f>
        <v>435.27343999999999</v>
      </c>
      <c r="B283" s="3">
        <f>3630000</f>
        <v>3630000</v>
      </c>
      <c r="C283" s="1" t="s">
        <v>14</v>
      </c>
      <c r="D283" s="5">
        <f>2.22271209</f>
        <v>2.2227120899999999</v>
      </c>
      <c r="E283" s="5">
        <f>5.07033256</f>
        <v>5.0703325599999998</v>
      </c>
      <c r="F283" s="1">
        <v>3</v>
      </c>
      <c r="G283" s="1">
        <v>5</v>
      </c>
      <c r="H283" s="5">
        <f t="shared" si="4"/>
        <v>435.04132566853724</v>
      </c>
    </row>
    <row r="284" spans="1:8" x14ac:dyDescent="0.2">
      <c r="A284" s="5">
        <f>435.84989</f>
        <v>435.84989000000002</v>
      </c>
      <c r="B284" s="3">
        <f>809000</f>
        <v>809000</v>
      </c>
      <c r="C284" s="1" t="s">
        <v>6</v>
      </c>
      <c r="D284" s="5">
        <f>2.94879294</f>
        <v>2.9487929400000001</v>
      </c>
      <c r="E284" s="5">
        <f>5.79264615</f>
        <v>5.7926461500000004</v>
      </c>
      <c r="F284" s="1">
        <v>11</v>
      </c>
      <c r="G284" s="1">
        <v>9</v>
      </c>
      <c r="H284" s="5">
        <f t="shared" si="4"/>
        <v>435.61762608333174</v>
      </c>
    </row>
    <row r="285" spans="1:8" x14ac:dyDescent="0.2">
      <c r="A285" s="5">
        <f>436.08029</f>
        <v>436.08028999999999</v>
      </c>
      <c r="B285" s="3">
        <f>1000000</f>
        <v>1000000</v>
      </c>
      <c r="C285" s="1" t="s">
        <v>12</v>
      </c>
      <c r="D285" s="5">
        <f>3.64164057</f>
        <v>3.6416405699999999</v>
      </c>
      <c r="E285" s="5">
        <f>6.48399171</f>
        <v>6.4839917099999997</v>
      </c>
      <c r="F285" s="1">
        <v>7</v>
      </c>
      <c r="G285" s="1">
        <v>5</v>
      </c>
      <c r="H285" s="5">
        <f t="shared" si="4"/>
        <v>435.84783274513472</v>
      </c>
    </row>
    <row r="286" spans="1:8" x14ac:dyDescent="0.2">
      <c r="A286" s="5">
        <f>436.58964</f>
        <v>436.58963999999997</v>
      </c>
      <c r="B286" s="3">
        <f>281000</f>
        <v>281000</v>
      </c>
      <c r="C286" s="1" t="s">
        <v>5</v>
      </c>
      <c r="D286" s="5">
        <f>2.99035244</f>
        <v>2.9903524400000001</v>
      </c>
      <c r="E286" s="5">
        <f>5.82938837</f>
        <v>5.8293883700000002</v>
      </c>
      <c r="F286" s="1">
        <v>9</v>
      </c>
      <c r="G286" s="1">
        <v>7</v>
      </c>
      <c r="H286" s="5">
        <f t="shared" si="4"/>
        <v>436.35678265954976</v>
      </c>
    </row>
    <row r="287" spans="1:8" x14ac:dyDescent="0.2">
      <c r="A287" s="5">
        <f>436.75782</f>
        <v>436.75781999999998</v>
      </c>
      <c r="B287" s="3">
        <f>1560000</f>
        <v>1560000</v>
      </c>
      <c r="C287" s="1" t="s">
        <v>13</v>
      </c>
      <c r="D287" s="5">
        <f>2.99035244</f>
        <v>2.9903524400000001</v>
      </c>
      <c r="E287" s="5">
        <f>5.8282952</f>
        <v>5.8282952000000003</v>
      </c>
      <c r="F287" s="1">
        <v>9</v>
      </c>
      <c r="G287" s="1">
        <v>11</v>
      </c>
      <c r="H287" s="5">
        <f t="shared" si="4"/>
        <v>436.52486643869548</v>
      </c>
    </row>
    <row r="288" spans="1:8" x14ac:dyDescent="0.2">
      <c r="A288" s="5">
        <f>436.79033</f>
        <v>436.79032999999998</v>
      </c>
      <c r="B288" s="3">
        <f>90900</f>
        <v>90900</v>
      </c>
      <c r="C288" s="1" t="s">
        <v>6</v>
      </c>
      <c r="D288" s="5">
        <f>1.60789577</f>
        <v>1.6078957700000001</v>
      </c>
      <c r="E288" s="5">
        <f>4.44562726</f>
        <v>4.4456272600000002</v>
      </c>
      <c r="F288" s="1">
        <v>5</v>
      </c>
      <c r="G288" s="1">
        <v>5</v>
      </c>
      <c r="H288" s="5">
        <f t="shared" si="4"/>
        <v>436.55736585199708</v>
      </c>
    </row>
    <row r="289" spans="1:8" x14ac:dyDescent="0.2">
      <c r="A289" s="5">
        <f>436.97715</f>
        <v>436.97714999999999</v>
      </c>
      <c r="B289" s="3">
        <f>6090000</f>
        <v>6090000</v>
      </c>
      <c r="C289" s="1" t="s">
        <v>6</v>
      </c>
      <c r="D289" s="5">
        <f>3.0468689</f>
        <v>3.0468689000000002</v>
      </c>
      <c r="E289" s="5">
        <f>5.88338708</f>
        <v>5.8833870800000003</v>
      </c>
      <c r="F289" s="1">
        <v>9</v>
      </c>
      <c r="G289" s="1">
        <v>9</v>
      </c>
      <c r="H289" s="5">
        <f t="shared" si="4"/>
        <v>436.74410162591056</v>
      </c>
    </row>
    <row r="290" spans="1:8" x14ac:dyDescent="0.2">
      <c r="A290" s="5">
        <f>437.29814</f>
        <v>437.29813999999999</v>
      </c>
      <c r="B290" s="3">
        <f>180000</f>
        <v>180000</v>
      </c>
      <c r="C290" s="1" t="s">
        <v>12</v>
      </c>
      <c r="D290" s="5">
        <f>3.01725044</f>
        <v>3.0172504400000002</v>
      </c>
      <c r="E290" s="5">
        <f>5.85168345</f>
        <v>5.8516834500000003</v>
      </c>
      <c r="F290" s="1">
        <v>5</v>
      </c>
      <c r="G290" s="1">
        <v>5</v>
      </c>
      <c r="H290" s="5">
        <f t="shared" si="4"/>
        <v>437.06539540677414</v>
      </c>
    </row>
    <row r="291" spans="1:8" x14ac:dyDescent="0.2">
      <c r="A291" s="5">
        <f>437.35604</f>
        <v>437.35604000000001</v>
      </c>
      <c r="B291" s="3">
        <f>1040000</f>
        <v>1040000</v>
      </c>
      <c r="C291" s="1" t="s">
        <v>5</v>
      </c>
      <c r="D291" s="5">
        <f>3.01762252</f>
        <v>3.0176225200000002</v>
      </c>
      <c r="E291" s="5">
        <f>5.85168345</f>
        <v>5.8516834500000003</v>
      </c>
      <c r="F291" s="1">
        <v>7</v>
      </c>
      <c r="G291" s="1">
        <v>5</v>
      </c>
      <c r="H291" s="5">
        <f t="shared" si="4"/>
        <v>437.12277712732975</v>
      </c>
    </row>
    <row r="292" spans="1:8" x14ac:dyDescent="0.2">
      <c r="A292" s="5">
        <f>437.44889</f>
        <v>437.44889000000001</v>
      </c>
      <c r="B292" s="3">
        <f>168000</f>
        <v>168000</v>
      </c>
      <c r="C292" s="1" t="s">
        <v>5</v>
      </c>
      <c r="D292" s="5">
        <f>3.30092244</f>
        <v>3.3009224399999999</v>
      </c>
      <c r="E292" s="5">
        <f>6.13438193</f>
        <v>6.13438193</v>
      </c>
      <c r="F292" s="1">
        <v>5</v>
      </c>
      <c r="G292" s="1">
        <v>7</v>
      </c>
      <c r="H292" s="5">
        <f t="shared" si="4"/>
        <v>437.21556233354266</v>
      </c>
    </row>
    <row r="293" spans="1:8" x14ac:dyDescent="0.2">
      <c r="A293" s="5">
        <f>437.5476</f>
        <v>437.54759999999999</v>
      </c>
      <c r="B293" s="3">
        <f>153000</f>
        <v>153000</v>
      </c>
      <c r="C293" s="1" t="s">
        <v>15</v>
      </c>
      <c r="D293" s="5">
        <f>3.5732189</f>
        <v>3.5732189000000001</v>
      </c>
      <c r="E293" s="5">
        <f>6.40603863</f>
        <v>6.4060386300000003</v>
      </c>
      <c r="F293" s="1">
        <v>11</v>
      </c>
      <c r="G293" s="1">
        <v>9</v>
      </c>
      <c r="H293" s="5">
        <f t="shared" si="4"/>
        <v>437.31430247757521</v>
      </c>
    </row>
    <row r="294" spans="1:8" x14ac:dyDescent="0.2">
      <c r="A294" s="5">
        <f>437.59298</f>
        <v>437.59298000000001</v>
      </c>
      <c r="B294" s="3">
        <f>29500</f>
        <v>29500</v>
      </c>
      <c r="C294" s="1" t="s">
        <v>11</v>
      </c>
      <c r="D294" s="5">
        <f>0</f>
        <v>0</v>
      </c>
      <c r="E294" s="5">
        <f>2.83252676</f>
        <v>2.8325267599999999</v>
      </c>
      <c r="F294" s="1">
        <v>9</v>
      </c>
      <c r="G294" s="1">
        <v>11</v>
      </c>
      <c r="H294" s="5">
        <f t="shared" si="4"/>
        <v>437.35953416717695</v>
      </c>
    </row>
    <row r="295" spans="1:8" x14ac:dyDescent="0.2">
      <c r="A295" s="5">
        <f>437.6774</f>
        <v>437.67739999999998</v>
      </c>
      <c r="B295" s="3">
        <f>535000</f>
        <v>535000</v>
      </c>
      <c r="C295" s="1" t="s">
        <v>15</v>
      </c>
      <c r="D295" s="5">
        <f>3.01725044</f>
        <v>3.0172504400000002</v>
      </c>
      <c r="E295" s="5">
        <f>5.84923154</f>
        <v>5.8492315399999999</v>
      </c>
      <c r="F295" s="1">
        <v>5</v>
      </c>
      <c r="G295" s="1">
        <v>3</v>
      </c>
      <c r="H295" s="5">
        <f t="shared" si="4"/>
        <v>437.44380365732781</v>
      </c>
    </row>
    <row r="296" spans="1:8" x14ac:dyDescent="0.2">
      <c r="A296" s="5">
        <f>437.77913</f>
        <v>437.77913000000001</v>
      </c>
      <c r="B296" s="3">
        <f>380000</f>
        <v>380000</v>
      </c>
      <c r="C296" s="1" t="s">
        <v>12</v>
      </c>
      <c r="D296" s="5">
        <f>3.2739844</f>
        <v>3.2739843999999998</v>
      </c>
      <c r="E296" s="5">
        <f>6.10530689</f>
        <v>6.1053068899999996</v>
      </c>
      <c r="F296" s="1">
        <v>3</v>
      </c>
      <c r="G296" s="1">
        <v>5</v>
      </c>
      <c r="H296" s="5">
        <f t="shared" si="4"/>
        <v>437.5455599442023</v>
      </c>
    </row>
    <row r="297" spans="1:8" x14ac:dyDescent="0.2">
      <c r="A297" s="5">
        <f>438.27677</f>
        <v>438.27677</v>
      </c>
      <c r="B297" s="3">
        <f>1540000</f>
        <v>1540000</v>
      </c>
      <c r="C297" s="1" t="s">
        <v>6</v>
      </c>
      <c r="D297" s="5">
        <f>3.5732189</f>
        <v>3.5732189000000001</v>
      </c>
      <c r="E297" s="5">
        <f>6.40132623</f>
        <v>6.4013262299999996</v>
      </c>
      <c r="F297" s="1">
        <v>11</v>
      </c>
      <c r="G297" s="1">
        <v>11</v>
      </c>
      <c r="H297" s="5">
        <f t="shared" si="4"/>
        <v>438.04298766470907</v>
      </c>
    </row>
    <row r="298" spans="1:8" x14ac:dyDescent="0.2">
      <c r="A298" s="5">
        <f>438.35447</f>
        <v>438.35446999999999</v>
      </c>
      <c r="B298" s="3">
        <f>50000000</f>
        <v>50000000</v>
      </c>
      <c r="C298" s="1" t="s">
        <v>11</v>
      </c>
      <c r="D298" s="5">
        <f>1.48486439</f>
        <v>1.48486439</v>
      </c>
      <c r="E298" s="5">
        <f>4.31247059</f>
        <v>4.3124705900000002</v>
      </c>
      <c r="F298" s="1">
        <v>9</v>
      </c>
      <c r="G298" s="1">
        <v>11</v>
      </c>
      <c r="H298" s="5">
        <f t="shared" si="4"/>
        <v>438.12062099370945</v>
      </c>
    </row>
    <row r="299" spans="1:8" x14ac:dyDescent="0.2">
      <c r="A299" s="5">
        <f>438.46719</f>
        <v>438.46719000000002</v>
      </c>
      <c r="B299" s="3">
        <f>540000</f>
        <v>540000</v>
      </c>
      <c r="C299" s="1" t="s">
        <v>10</v>
      </c>
      <c r="D299" s="5">
        <f>3.01725044</f>
        <v>3.0172504400000002</v>
      </c>
      <c r="E299" s="5">
        <f>5.84412959</f>
        <v>5.8441295899999997</v>
      </c>
      <c r="F299" s="1">
        <v>5</v>
      </c>
      <c r="G299" s="1">
        <v>5</v>
      </c>
      <c r="H299" s="5">
        <f t="shared" si="4"/>
        <v>438.23330200361175</v>
      </c>
    </row>
    <row r="300" spans="1:8" x14ac:dyDescent="0.2">
      <c r="A300" s="5">
        <f>438.78909</f>
        <v>438.78908999999999</v>
      </c>
      <c r="B300" s="3">
        <f>3460000</f>
        <v>3460000</v>
      </c>
      <c r="C300" s="1" t="s">
        <v>6</v>
      </c>
      <c r="D300" s="5">
        <f>3.0713388</f>
        <v>3.0713387999999999</v>
      </c>
      <c r="E300" s="5">
        <f>5.89614419</f>
        <v>5.8961441900000002</v>
      </c>
      <c r="F300" s="1">
        <v>3</v>
      </c>
      <c r="G300" s="1">
        <v>3</v>
      </c>
      <c r="H300" s="5">
        <f t="shared" si="4"/>
        <v>438.55501998658491</v>
      </c>
    </row>
    <row r="301" spans="1:8" x14ac:dyDescent="0.2">
      <c r="A301" s="5">
        <f>438.84065</f>
        <v>438.84064999999998</v>
      </c>
      <c r="B301" s="3">
        <f>10300000</f>
        <v>10300000</v>
      </c>
      <c r="C301" s="1" t="s">
        <v>13</v>
      </c>
      <c r="D301" s="5">
        <f>3.60252504</f>
        <v>3.6025250400000002</v>
      </c>
      <c r="E301" s="5">
        <f>6.4269984</f>
        <v>6.4269983999999996</v>
      </c>
      <c r="F301" s="1">
        <v>7</v>
      </c>
      <c r="G301" s="1">
        <v>7</v>
      </c>
      <c r="H301" s="5">
        <f t="shared" si="4"/>
        <v>438.60657417199474</v>
      </c>
    </row>
    <row r="302" spans="1:8" x14ac:dyDescent="0.2">
      <c r="A302" s="5">
        <f>438.9245</f>
        <v>438.92450000000002</v>
      </c>
      <c r="B302" s="3">
        <f>1810</f>
        <v>1810</v>
      </c>
      <c r="C302" s="1" t="s">
        <v>11</v>
      </c>
      <c r="D302" s="5">
        <f>0.05156912</f>
        <v>5.1569120000000003E-2</v>
      </c>
      <c r="E302" s="5">
        <f>2.87550352</f>
        <v>2.8755035200000001</v>
      </c>
      <c r="F302" s="1">
        <v>7</v>
      </c>
      <c r="G302" s="1">
        <v>5</v>
      </c>
      <c r="H302" s="5">
        <f t="shared" si="4"/>
        <v>438.69028411908687</v>
      </c>
    </row>
    <row r="303" spans="1:8" x14ac:dyDescent="0.2">
      <c r="A303" s="5">
        <f>439.04477</f>
        <v>439.04477000000003</v>
      </c>
      <c r="B303" s="3">
        <f>140000</f>
        <v>140000</v>
      </c>
      <c r="C303" s="1" t="s">
        <v>12</v>
      </c>
      <c r="D303" s="5">
        <f>2.99035244</f>
        <v>2.9903524400000001</v>
      </c>
      <c r="E303" s="5">
        <f>5.81351269</f>
        <v>5.8135126899999996</v>
      </c>
      <c r="F303" s="1">
        <v>9</v>
      </c>
      <c r="G303" s="1">
        <v>9</v>
      </c>
      <c r="H303" s="5">
        <f t="shared" si="4"/>
        <v>438.81057912658804</v>
      </c>
    </row>
    <row r="304" spans="1:8" x14ac:dyDescent="0.2">
      <c r="A304" s="5">
        <f>439.09502</f>
        <v>439.09501999999998</v>
      </c>
      <c r="B304" s="3">
        <f>1160000</f>
        <v>1160000</v>
      </c>
      <c r="C304" s="1" t="s">
        <v>6</v>
      </c>
      <c r="D304" s="5">
        <f>3.01762252</f>
        <v>3.0176225200000002</v>
      </c>
      <c r="E304" s="5">
        <f>5.84045966</f>
        <v>5.8404596599999996</v>
      </c>
      <c r="F304" s="1">
        <v>7</v>
      </c>
      <c r="G304" s="1">
        <v>9</v>
      </c>
      <c r="H304" s="5">
        <f t="shared" si="4"/>
        <v>438.86080663855199</v>
      </c>
    </row>
    <row r="305" spans="1:8" x14ac:dyDescent="0.2">
      <c r="A305" s="5">
        <f>439.1863</f>
        <v>439.18630000000002</v>
      </c>
      <c r="B305" s="3">
        <f>1100000</f>
        <v>1100000</v>
      </c>
      <c r="C305" s="1" t="s">
        <v>10</v>
      </c>
      <c r="D305" s="5">
        <f>3.92860683</f>
        <v>3.9286068300000001</v>
      </c>
      <c r="E305" s="5">
        <f>6.75085864</f>
        <v>6.7508586399999997</v>
      </c>
      <c r="F305" s="1">
        <v>5</v>
      </c>
      <c r="G305" s="1">
        <v>3</v>
      </c>
      <c r="H305" s="5">
        <f t="shared" si="4"/>
        <v>438.95182558839889</v>
      </c>
    </row>
    <row r="306" spans="1:8" x14ac:dyDescent="0.2">
      <c r="A306" s="5">
        <f>439.2579</f>
        <v>439.25790000000001</v>
      </c>
      <c r="B306" s="3">
        <f>410000</f>
        <v>410000</v>
      </c>
      <c r="C306" s="1" t="s">
        <v>10</v>
      </c>
      <c r="D306" s="5">
        <f>3.88160368</f>
        <v>3.88160368</v>
      </c>
      <c r="E306" s="5">
        <f>6.7033939</f>
        <v>6.7033939</v>
      </c>
      <c r="F306" s="1">
        <v>9</v>
      </c>
      <c r="G306" s="1">
        <v>9</v>
      </c>
      <c r="H306" s="5">
        <f t="shared" si="4"/>
        <v>439.02362957004755</v>
      </c>
    </row>
    <row r="307" spans="1:8" x14ac:dyDescent="0.2">
      <c r="A307" s="5">
        <f>439.52738</f>
        <v>439.52737999999999</v>
      </c>
      <c r="B307" s="3">
        <f>1700000</f>
        <v>1700000</v>
      </c>
      <c r="C307" s="1" t="s">
        <v>13</v>
      </c>
      <c r="D307" s="5">
        <f>3.65369332</f>
        <v>3.6536933199999999</v>
      </c>
      <c r="E307" s="5">
        <f>6.47375371</f>
        <v>6.4737537100000004</v>
      </c>
      <c r="F307" s="1">
        <v>5</v>
      </c>
      <c r="G307" s="1">
        <v>3</v>
      </c>
      <c r="H307" s="5">
        <f t="shared" si="4"/>
        <v>439.29292743609039</v>
      </c>
    </row>
    <row r="308" spans="1:8" x14ac:dyDescent="0.2">
      <c r="A308" s="5">
        <f>440.12896</f>
        <v>440.12896000000001</v>
      </c>
      <c r="B308" s="3">
        <f>6400000</f>
        <v>6400000</v>
      </c>
      <c r="C308" s="1" t="s">
        <v>12</v>
      </c>
      <c r="D308" s="5">
        <f>3.60252504</f>
        <v>3.6025250400000002</v>
      </c>
      <c r="E308" s="5">
        <f>6.41873101</f>
        <v>6.4187310100000001</v>
      </c>
      <c r="F308" s="1">
        <v>7</v>
      </c>
      <c r="G308" s="1">
        <v>7</v>
      </c>
      <c r="H308" s="5">
        <f t="shared" si="4"/>
        <v>439.89416877404847</v>
      </c>
    </row>
    <row r="309" spans="1:8" x14ac:dyDescent="0.2">
      <c r="A309" s="5">
        <f>440.14426</f>
        <v>440.14425999999997</v>
      </c>
      <c r="B309" s="3">
        <f>818000</f>
        <v>818000</v>
      </c>
      <c r="C309" s="1" t="s">
        <v>6</v>
      </c>
      <c r="D309" s="5">
        <f>2.83159117</f>
        <v>2.8315911699999998</v>
      </c>
      <c r="E309" s="5">
        <f>5.64769932</f>
        <v>5.6476993200000001</v>
      </c>
      <c r="F309" s="1">
        <v>5</v>
      </c>
      <c r="G309" s="1">
        <v>3</v>
      </c>
      <c r="H309" s="5">
        <f t="shared" si="4"/>
        <v>439.90944888592543</v>
      </c>
    </row>
    <row r="310" spans="1:8" x14ac:dyDescent="0.2">
      <c r="A310" s="5">
        <f>440.47501</f>
        <v>440.47501</v>
      </c>
      <c r="B310" s="3">
        <f>27500000</f>
        <v>27500000</v>
      </c>
      <c r="C310" s="1" t="s">
        <v>11</v>
      </c>
      <c r="D310" s="5">
        <f>1.55735733</f>
        <v>1.5573573300000001</v>
      </c>
      <c r="E310" s="5">
        <f>4.37135106</f>
        <v>4.3713510600000003</v>
      </c>
      <c r="F310" s="1">
        <v>7</v>
      </c>
      <c r="G310" s="1">
        <v>9</v>
      </c>
      <c r="H310" s="5">
        <f t="shared" si="4"/>
        <v>440.23999451827598</v>
      </c>
    </row>
    <row r="311" spans="1:8" x14ac:dyDescent="0.2">
      <c r="A311" s="5">
        <f>440.50187</f>
        <v>440.50187</v>
      </c>
      <c r="B311" s="3">
        <f>295</f>
        <v>295</v>
      </c>
      <c r="C311" s="1" t="s">
        <v>6</v>
      </c>
      <c r="D311" s="5">
        <f>0.05156912</f>
        <v>5.1569120000000003E-2</v>
      </c>
      <c r="E311" s="5">
        <f>2.86539125</f>
        <v>2.8653912500000001</v>
      </c>
      <c r="F311" s="1">
        <v>7</v>
      </c>
      <c r="G311" s="1">
        <v>7</v>
      </c>
      <c r="H311" s="5">
        <f t="shared" si="4"/>
        <v>440.26684240686626</v>
      </c>
    </row>
    <row r="312" spans="1:8" x14ac:dyDescent="0.2">
      <c r="A312" s="5">
        <f>440.77089</f>
        <v>440.77089000000001</v>
      </c>
      <c r="B312" s="3">
        <f>730000</f>
        <v>730000</v>
      </c>
      <c r="C312" s="1" t="s">
        <v>15</v>
      </c>
      <c r="D312" s="5">
        <f>2.17594512</f>
        <v>2.1759451200000002</v>
      </c>
      <c r="E312" s="5">
        <f>4.98804995</f>
        <v>4.9880499499999997</v>
      </c>
      <c r="F312" s="1">
        <v>7</v>
      </c>
      <c r="G312" s="1">
        <v>5</v>
      </c>
      <c r="H312" s="5">
        <f t="shared" si="4"/>
        <v>440.5357051606299</v>
      </c>
    </row>
    <row r="313" spans="1:8" x14ac:dyDescent="0.2">
      <c r="A313" s="5">
        <f>440.84132</f>
        <v>440.84132</v>
      </c>
      <c r="B313" s="3">
        <f>1920000</f>
        <v>1920000</v>
      </c>
      <c r="C313" s="1" t="s">
        <v>15</v>
      </c>
      <c r="D313" s="5">
        <f>2.1978664</f>
        <v>2.1978664000000001</v>
      </c>
      <c r="E313" s="5">
        <f>5.00952178</f>
        <v>5.00952178</v>
      </c>
      <c r="F313" s="1">
        <v>5</v>
      </c>
      <c r="G313" s="1">
        <v>3</v>
      </c>
      <c r="H313" s="5">
        <f t="shared" si="4"/>
        <v>440.60612587224796</v>
      </c>
    </row>
    <row r="314" spans="1:8" x14ac:dyDescent="0.2">
      <c r="A314" s="5">
        <f>440.91192</f>
        <v>440.91192000000001</v>
      </c>
      <c r="B314" s="3">
        <f>740000</f>
        <v>740000</v>
      </c>
      <c r="C314" s="1" t="s">
        <v>12</v>
      </c>
      <c r="D314" s="5">
        <f>3.30092244</f>
        <v>3.3009224399999999</v>
      </c>
      <c r="E314" s="5">
        <f>6.11212776</f>
        <v>6.1121277599999999</v>
      </c>
      <c r="F314" s="1">
        <v>5</v>
      </c>
      <c r="G314" s="1">
        <v>3</v>
      </c>
      <c r="H314" s="5">
        <f t="shared" si="4"/>
        <v>440.67666472318109</v>
      </c>
    </row>
    <row r="315" spans="1:8" x14ac:dyDescent="0.2">
      <c r="A315" s="5">
        <f>441.51222</f>
        <v>441.51222000000001</v>
      </c>
      <c r="B315" s="3">
        <f>11900000</f>
        <v>11900000</v>
      </c>
      <c r="C315" s="1" t="s">
        <v>11</v>
      </c>
      <c r="D315" s="5">
        <f>1.60789577</f>
        <v>1.6078957700000001</v>
      </c>
      <c r="E315" s="5">
        <f>4.41527878</f>
        <v>4.4152787800000004</v>
      </c>
      <c r="F315" s="1">
        <v>5</v>
      </c>
      <c r="G315" s="1">
        <v>7</v>
      </c>
      <c r="H315" s="5">
        <f t="shared" si="4"/>
        <v>441.27665511150286</v>
      </c>
    </row>
    <row r="316" spans="1:8" x14ac:dyDescent="0.2">
      <c r="A316" s="5">
        <f>442.25678</f>
        <v>442.25677999999999</v>
      </c>
      <c r="B316" s="3">
        <f>8720000</f>
        <v>8720000</v>
      </c>
      <c r="C316" s="1" t="s">
        <v>14</v>
      </c>
      <c r="D316" s="5">
        <f>2.84504259</f>
        <v>2.8450425899999998</v>
      </c>
      <c r="E316" s="5">
        <f>5.64769932</f>
        <v>5.6476993200000001</v>
      </c>
      <c r="F316" s="1">
        <v>3</v>
      </c>
      <c r="G316" s="1">
        <v>3</v>
      </c>
      <c r="H316" s="5">
        <f t="shared" si="4"/>
        <v>442.02080512002726</v>
      </c>
    </row>
    <row r="317" spans="1:8" x14ac:dyDescent="0.2">
      <c r="A317" s="5">
        <f>442.31412</f>
        <v>442.31412</v>
      </c>
      <c r="B317" s="3">
        <f>130000</f>
        <v>130000</v>
      </c>
      <c r="C317" s="1" t="s">
        <v>10</v>
      </c>
      <c r="D317" s="5">
        <f>2.99035244</f>
        <v>2.9903524400000001</v>
      </c>
      <c r="E317" s="5">
        <f>5.79264615</f>
        <v>5.7926461500000004</v>
      </c>
      <c r="F317" s="1">
        <v>9</v>
      </c>
      <c r="G317" s="1">
        <v>9</v>
      </c>
      <c r="H317" s="5">
        <f t="shared" si="4"/>
        <v>442.07806621014851</v>
      </c>
    </row>
    <row r="318" spans="1:8" x14ac:dyDescent="0.2">
      <c r="A318" s="5">
        <f>442.38405</f>
        <v>442.38405</v>
      </c>
      <c r="B318" s="3">
        <f>1800000</f>
        <v>1800000</v>
      </c>
      <c r="C318" s="1" t="s">
        <v>12</v>
      </c>
      <c r="D318" s="5">
        <f>3.65369332</f>
        <v>3.6536933199999999</v>
      </c>
      <c r="E318" s="5">
        <f>6.45554341</f>
        <v>6.4555434099999998</v>
      </c>
      <c r="F318" s="1">
        <v>5</v>
      </c>
      <c r="G318" s="1">
        <v>5</v>
      </c>
      <c r="H318" s="5">
        <f t="shared" si="4"/>
        <v>442.14806091558705</v>
      </c>
    </row>
    <row r="319" spans="1:8" x14ac:dyDescent="0.2">
      <c r="A319" s="5">
        <f>442.4068</f>
        <v>442.40679999999998</v>
      </c>
      <c r="B319" s="3">
        <f>237000</f>
        <v>237000</v>
      </c>
      <c r="C319" s="1" t="s">
        <v>5</v>
      </c>
      <c r="D319" s="5">
        <f>3.64164057</f>
        <v>3.6416405699999999</v>
      </c>
      <c r="E319" s="5">
        <f>6.44334733</f>
        <v>6.4433473299999999</v>
      </c>
      <c r="F319" s="1">
        <v>7</v>
      </c>
      <c r="G319" s="1">
        <v>7</v>
      </c>
      <c r="H319" s="5">
        <f t="shared" si="4"/>
        <v>442.17068037115456</v>
      </c>
    </row>
    <row r="320" spans="1:8" x14ac:dyDescent="0.2">
      <c r="A320" s="5">
        <f>442.73096</f>
        <v>442.73095999999998</v>
      </c>
      <c r="B320" s="3">
        <f>34100</f>
        <v>34100</v>
      </c>
      <c r="C320" s="1" t="s">
        <v>11</v>
      </c>
      <c r="D320" s="5">
        <f>0.05156912</f>
        <v>5.1569120000000003E-2</v>
      </c>
      <c r="E320" s="5">
        <f>2.85122419</f>
        <v>2.8512241899999999</v>
      </c>
      <c r="F320" s="1">
        <v>7</v>
      </c>
      <c r="G320" s="1">
        <v>9</v>
      </c>
      <c r="H320" s="5">
        <f t="shared" si="4"/>
        <v>442.49471927613672</v>
      </c>
    </row>
    <row r="321" spans="1:8" x14ac:dyDescent="0.2">
      <c r="A321" s="5">
        <f>443.01888</f>
        <v>443.01888000000002</v>
      </c>
      <c r="B321" s="3">
        <f>2000000</f>
        <v>2000000</v>
      </c>
      <c r="C321" s="1" t="s">
        <v>10</v>
      </c>
      <c r="D321" s="5">
        <f>3.01725044</f>
        <v>3.0172504400000002</v>
      </c>
      <c r="E321" s="5">
        <f>5.81508605</f>
        <v>5.8150860499999997</v>
      </c>
      <c r="F321" s="1">
        <v>5</v>
      </c>
      <c r="G321" s="1">
        <v>3</v>
      </c>
      <c r="H321" s="5">
        <f t="shared" si="4"/>
        <v>442.78247794181993</v>
      </c>
    </row>
    <row r="322" spans="1:8" x14ac:dyDescent="0.2">
      <c r="A322" s="5">
        <f>443.06137</f>
        <v>443.06137000000001</v>
      </c>
      <c r="B322" s="3">
        <f>7450000</f>
        <v>7450000</v>
      </c>
      <c r="C322" s="1" t="s">
        <v>13</v>
      </c>
      <c r="D322" s="5">
        <f>2.22271209</f>
        <v>2.2227120899999999</v>
      </c>
      <c r="E322" s="5">
        <f>5.02027939</f>
        <v>5.0202793899999998</v>
      </c>
      <c r="F322" s="1">
        <v>3</v>
      </c>
      <c r="G322" s="1">
        <v>1</v>
      </c>
      <c r="H322" s="5">
        <f t="shared" si="4"/>
        <v>442.82494446859704</v>
      </c>
    </row>
    <row r="323" spans="1:8" x14ac:dyDescent="0.2">
      <c r="A323" s="5">
        <f>443.25675</f>
        <v>443.25675000000001</v>
      </c>
      <c r="B323" s="3">
        <f>840000</f>
        <v>840000</v>
      </c>
      <c r="C323" s="1" t="s">
        <v>12</v>
      </c>
      <c r="D323" s="5">
        <f>3.5732189</f>
        <v>3.5732189000000001</v>
      </c>
      <c r="E323" s="5">
        <f>6.36955305</f>
        <v>6.3695530500000004</v>
      </c>
      <c r="F323" s="1">
        <v>11</v>
      </c>
      <c r="G323" s="1">
        <v>11</v>
      </c>
      <c r="H323" s="5">
        <f t="shared" ref="H323:H386" si="5">$J$2*$J$1/((E323-D323)*$J$3)*1000000000</f>
        <v>443.02022498622449</v>
      </c>
    </row>
    <row r="324" spans="1:8" x14ac:dyDescent="0.2">
      <c r="A324" s="5">
        <f>443.32184</f>
        <v>443.32184000000001</v>
      </c>
      <c r="B324" s="3">
        <f>21000000</f>
        <v>21000000</v>
      </c>
      <c r="C324" s="1" t="s">
        <v>12</v>
      </c>
      <c r="D324" s="5">
        <f>3.65369332</f>
        <v>3.6536933199999999</v>
      </c>
      <c r="E324" s="5">
        <f>6.44961696</f>
        <v>6.4496169600000002</v>
      </c>
      <c r="F324" s="1">
        <v>5</v>
      </c>
      <c r="G324" s="1">
        <v>3</v>
      </c>
      <c r="H324" s="5">
        <f t="shared" si="5"/>
        <v>443.08527119491106</v>
      </c>
    </row>
    <row r="325" spans="1:8" x14ac:dyDescent="0.2">
      <c r="A325" s="5">
        <f>443.37821</f>
        <v>443.37821000000002</v>
      </c>
      <c r="B325" s="3">
        <f>2620000</f>
        <v>2620000</v>
      </c>
      <c r="C325" s="1" t="s">
        <v>13</v>
      </c>
      <c r="D325" s="5">
        <f>3.60252504</f>
        <v>3.6025250400000002</v>
      </c>
      <c r="E325" s="5">
        <f>6.39809335</f>
        <v>6.3980933499999999</v>
      </c>
      <c r="F325" s="1">
        <v>7</v>
      </c>
      <c r="G325" s="1">
        <v>7</v>
      </c>
      <c r="H325" s="5">
        <f t="shared" si="5"/>
        <v>443.14158943576774</v>
      </c>
    </row>
    <row r="326" spans="1:8" x14ac:dyDescent="0.2">
      <c r="A326" s="5">
        <f>443.51486</f>
        <v>443.51486</v>
      </c>
      <c r="B326" s="3">
        <f>4720</f>
        <v>4720</v>
      </c>
      <c r="C326" s="1" t="s">
        <v>11</v>
      </c>
      <c r="D326" s="5">
        <f>0.08728574</f>
        <v>8.7285740000000001E-2</v>
      </c>
      <c r="E326" s="5">
        <f>2.88199261</f>
        <v>2.8819926100000002</v>
      </c>
      <c r="F326" s="1">
        <v>5</v>
      </c>
      <c r="G326" s="1">
        <v>3</v>
      </c>
      <c r="H326" s="5">
        <f t="shared" si="5"/>
        <v>443.27818332863757</v>
      </c>
    </row>
    <row r="327" spans="1:8" x14ac:dyDescent="0.2">
      <c r="A327" s="5">
        <f>443.69203</f>
        <v>443.69202999999999</v>
      </c>
      <c r="B327" s="3">
        <f>282000</f>
        <v>282000</v>
      </c>
      <c r="C327" s="1" t="s">
        <v>5</v>
      </c>
      <c r="D327" s="5">
        <f>3.0468689</f>
        <v>3.0468689000000002</v>
      </c>
      <c r="E327" s="5">
        <f>5.84045966</f>
        <v>5.8404596599999996</v>
      </c>
      <c r="F327" s="1">
        <v>9</v>
      </c>
      <c r="G327" s="1">
        <v>9</v>
      </c>
      <c r="H327" s="5">
        <f t="shared" si="5"/>
        <v>443.45528414822763</v>
      </c>
    </row>
    <row r="328" spans="1:8" x14ac:dyDescent="0.2">
      <c r="A328" s="5">
        <f>443.8343</f>
        <v>443.83429999999998</v>
      </c>
      <c r="B328" s="3">
        <f>8500000</f>
        <v>8500000</v>
      </c>
      <c r="C328" s="1" t="s">
        <v>12</v>
      </c>
      <c r="D328" s="5">
        <f>3.68638944</f>
        <v>3.6863894400000001</v>
      </c>
      <c r="E328" s="5">
        <f>6.47908516</f>
        <v>6.4790851600000003</v>
      </c>
      <c r="F328" s="1">
        <v>3</v>
      </c>
      <c r="G328" s="1">
        <v>1</v>
      </c>
      <c r="H328" s="5">
        <f t="shared" si="5"/>
        <v>443.59740855321786</v>
      </c>
    </row>
    <row r="329" spans="1:8" x14ac:dyDescent="0.2">
      <c r="A329" s="5">
        <f>443.9634</f>
        <v>443.96339999999998</v>
      </c>
      <c r="B329" s="3">
        <f>79000</f>
        <v>79000</v>
      </c>
      <c r="C329" s="1" t="s">
        <v>10</v>
      </c>
      <c r="D329" s="5">
        <f>3.0468689</f>
        <v>3.0468689000000002</v>
      </c>
      <c r="E329" s="5">
        <f>5.83875215</f>
        <v>5.8387521500000004</v>
      </c>
      <c r="F329" s="1">
        <v>9</v>
      </c>
      <c r="G329" s="1">
        <v>7</v>
      </c>
      <c r="H329" s="5">
        <f t="shared" si="5"/>
        <v>443.7265004794391</v>
      </c>
    </row>
    <row r="330" spans="1:8" x14ac:dyDescent="0.2">
      <c r="A330" s="5">
        <f>443.98805</f>
        <v>443.98804999999999</v>
      </c>
      <c r="B330" s="3">
        <f>67300</f>
        <v>67300</v>
      </c>
      <c r="C330" s="1" t="s">
        <v>13</v>
      </c>
      <c r="D330" s="5">
        <f>2.27860466</f>
        <v>2.2786046600000001</v>
      </c>
      <c r="E330" s="5">
        <f>5.07033256</f>
        <v>5.0703325599999998</v>
      </c>
      <c r="F330" s="1">
        <v>5</v>
      </c>
      <c r="G330" s="1">
        <v>5</v>
      </c>
      <c r="H330" s="5">
        <f t="shared" si="5"/>
        <v>443.75119232417427</v>
      </c>
    </row>
    <row r="331" spans="1:8" x14ac:dyDescent="0.2">
      <c r="A331" s="5">
        <f>444.0479</f>
        <v>444.04790000000003</v>
      </c>
      <c r="B331" s="3">
        <f>450000</f>
        <v>450000</v>
      </c>
      <c r="C331" s="1" t="s">
        <v>10</v>
      </c>
      <c r="D331" s="5">
        <f>3.60252504</f>
        <v>3.6025250400000002</v>
      </c>
      <c r="E331" s="5">
        <f>6.39387714</f>
        <v>6.3938771399999998</v>
      </c>
      <c r="F331" s="1">
        <v>7</v>
      </c>
      <c r="G331" s="1">
        <v>7</v>
      </c>
      <c r="H331" s="5">
        <f t="shared" si="5"/>
        <v>443.81093458960737</v>
      </c>
    </row>
    <row r="332" spans="1:8" x14ac:dyDescent="0.2">
      <c r="A332" s="5">
        <f>444.08236</f>
        <v>444.08235999999999</v>
      </c>
      <c r="B332" s="3">
        <f>3000000</f>
        <v>3000000</v>
      </c>
      <c r="C332" s="1" t="s">
        <v>10</v>
      </c>
      <c r="D332" s="5">
        <f>3.95972364</f>
        <v>3.95972364</v>
      </c>
      <c r="E332" s="5">
        <f>6.75085864</f>
        <v>6.7508586399999997</v>
      </c>
      <c r="F332" s="1">
        <v>3</v>
      </c>
      <c r="G332" s="1">
        <v>3</v>
      </c>
      <c r="H332" s="5">
        <f t="shared" si="5"/>
        <v>443.84545508177251</v>
      </c>
    </row>
    <row r="333" spans="1:8" x14ac:dyDescent="0.2">
      <c r="A333" s="5">
        <f>444.23387</f>
        <v>444.23387000000002</v>
      </c>
      <c r="B333" s="3">
        <f>3760000</f>
        <v>3760000</v>
      </c>
      <c r="C333" s="1" t="s">
        <v>13</v>
      </c>
      <c r="D333" s="5">
        <f>2.1978664</f>
        <v>2.1978664000000001</v>
      </c>
      <c r="E333" s="5">
        <f>4.98804995</f>
        <v>4.9880499499999997</v>
      </c>
      <c r="F333" s="1">
        <v>5</v>
      </c>
      <c r="G333" s="1">
        <v>5</v>
      </c>
      <c r="H333" s="5">
        <f t="shared" si="5"/>
        <v>443.99680596986639</v>
      </c>
    </row>
    <row r="334" spans="1:8" x14ac:dyDescent="0.2">
      <c r="A334" s="5">
        <f>444.28313</f>
        <v>444.28313000000003</v>
      </c>
      <c r="B334" s="3">
        <f>109000</f>
        <v>109000</v>
      </c>
      <c r="C334" s="1" t="s">
        <v>13</v>
      </c>
      <c r="D334" s="5">
        <f>2.17594512</f>
        <v>2.1759451200000002</v>
      </c>
      <c r="E334" s="5">
        <f>4.96581946</f>
        <v>4.9658194599999996</v>
      </c>
      <c r="F334" s="1">
        <v>7</v>
      </c>
      <c r="G334" s="1">
        <v>5</v>
      </c>
      <c r="H334" s="5">
        <f t="shared" si="5"/>
        <v>444.04601544514838</v>
      </c>
    </row>
    <row r="335" spans="1:8" x14ac:dyDescent="0.2">
      <c r="A335" s="5">
        <f>444.3194</f>
        <v>444.31939999999997</v>
      </c>
      <c r="B335" s="3">
        <f>10200000</f>
        <v>10200000</v>
      </c>
      <c r="C335" s="1" t="s">
        <v>14</v>
      </c>
      <c r="D335" s="5">
        <f>2.85805275</f>
        <v>2.8580527500000001</v>
      </c>
      <c r="E335" s="5">
        <f>5.64769932</f>
        <v>5.6476993200000001</v>
      </c>
      <c r="F335" s="1">
        <v>1</v>
      </c>
      <c r="G335" s="1">
        <v>3</v>
      </c>
      <c r="H335" s="5">
        <f t="shared" si="5"/>
        <v>444.08227106334232</v>
      </c>
    </row>
    <row r="336" spans="1:8" x14ac:dyDescent="0.2">
      <c r="A336" s="5">
        <f>444.54712</f>
        <v>444.54712000000001</v>
      </c>
      <c r="B336" s="3">
        <f>244</f>
        <v>244</v>
      </c>
      <c r="C336" s="1" t="s">
        <v>11</v>
      </c>
      <c r="D336" s="5">
        <f>0.08728574</f>
        <v>8.7285740000000001E-2</v>
      </c>
      <c r="E336" s="5">
        <f>2.87550352</f>
        <v>2.8755035200000001</v>
      </c>
      <c r="F336" s="1">
        <v>5</v>
      </c>
      <c r="G336" s="1">
        <v>5</v>
      </c>
      <c r="H336" s="5">
        <f t="shared" si="5"/>
        <v>444.3098358944053</v>
      </c>
    </row>
    <row r="337" spans="1:8" x14ac:dyDescent="0.2">
      <c r="A337" s="5">
        <f>444.68318</f>
        <v>444.68317999999999</v>
      </c>
      <c r="B337" s="3">
        <f>5380000</f>
        <v>5380000</v>
      </c>
      <c r="C337" s="1" t="s">
        <v>13</v>
      </c>
      <c r="D337" s="5">
        <f>3.68638944</f>
        <v>3.6863894400000001</v>
      </c>
      <c r="E337" s="5">
        <f>6.47375371</f>
        <v>6.4737537100000004</v>
      </c>
      <c r="F337" s="1">
        <v>3</v>
      </c>
      <c r="G337" s="1">
        <v>3</v>
      </c>
      <c r="H337" s="5">
        <f t="shared" si="5"/>
        <v>444.44588660443111</v>
      </c>
    </row>
    <row r="338" spans="1:8" x14ac:dyDescent="0.2">
      <c r="A338" s="5">
        <f>444.71301</f>
        <v>444.71301</v>
      </c>
      <c r="B338" s="3">
        <f>89100</f>
        <v>89100</v>
      </c>
      <c r="C338" s="1" t="s">
        <v>6</v>
      </c>
      <c r="D338" s="5">
        <f>2.1978664</f>
        <v>2.1978664000000001</v>
      </c>
      <c r="E338" s="5">
        <f>4.98504395</f>
        <v>4.9850439499999997</v>
      </c>
      <c r="F338" s="1">
        <v>5</v>
      </c>
      <c r="G338" s="1">
        <v>7</v>
      </c>
      <c r="H338" s="5">
        <f t="shared" si="5"/>
        <v>444.47566114676226</v>
      </c>
    </row>
    <row r="339" spans="1:8" x14ac:dyDescent="0.2">
      <c r="A339" s="5">
        <f>444.7717</f>
        <v>444.77170000000001</v>
      </c>
      <c r="B339" s="3">
        <f>5110000</f>
        <v>5110000</v>
      </c>
      <c r="C339" s="1" t="s">
        <v>13</v>
      </c>
      <c r="D339" s="5">
        <f>2.22271209</f>
        <v>2.2227120899999999</v>
      </c>
      <c r="E339" s="5">
        <f>5.00952178</f>
        <v>5.00952178</v>
      </c>
      <c r="F339" s="1">
        <v>3</v>
      </c>
      <c r="G339" s="1">
        <v>3</v>
      </c>
      <c r="H339" s="5">
        <f t="shared" si="5"/>
        <v>444.53433211281208</v>
      </c>
    </row>
    <row r="340" spans="1:8" x14ac:dyDescent="0.2">
      <c r="A340" s="5">
        <f>445.03153</f>
        <v>445.03152999999998</v>
      </c>
      <c r="B340" s="3">
        <f>1150000</f>
        <v>1150000</v>
      </c>
      <c r="C340" s="1" t="s">
        <v>6</v>
      </c>
      <c r="D340" s="5">
        <f>3.11096179</f>
        <v>3.1109617900000002</v>
      </c>
      <c r="E340" s="5">
        <f>5.89614419</f>
        <v>5.8961441900000002</v>
      </c>
      <c r="F340" s="1">
        <v>1</v>
      </c>
      <c r="G340" s="1">
        <v>3</v>
      </c>
      <c r="H340" s="5">
        <f t="shared" si="5"/>
        <v>444.79405882704947</v>
      </c>
    </row>
    <row r="341" spans="1:8" x14ac:dyDescent="0.2">
      <c r="A341" s="5">
        <f>445.0767</f>
        <v>445.07670000000002</v>
      </c>
      <c r="B341" s="3">
        <f>230000</f>
        <v>230000</v>
      </c>
      <c r="C341" s="1" t="s">
        <v>10</v>
      </c>
      <c r="D341" s="5">
        <f>3.88160368</f>
        <v>3.88160368</v>
      </c>
      <c r="E341" s="5">
        <f>6.66650376</f>
        <v>6.6665037600000003</v>
      </c>
      <c r="F341" s="1">
        <v>9</v>
      </c>
      <c r="G341" s="1">
        <v>9</v>
      </c>
      <c r="H341" s="5">
        <f t="shared" si="5"/>
        <v>444.83914994525151</v>
      </c>
    </row>
    <row r="342" spans="1:8" x14ac:dyDescent="0.2">
      <c r="A342" s="5">
        <f>445.2609</f>
        <v>445.26089999999999</v>
      </c>
      <c r="B342" s="3">
        <f>830000</f>
        <v>830000</v>
      </c>
      <c r="C342" s="1" t="s">
        <v>10</v>
      </c>
      <c r="D342" s="5">
        <f>3.94332623</f>
        <v>3.9433262299999998</v>
      </c>
      <c r="E342" s="5">
        <f>6.72707289</f>
        <v>6.7270728899999996</v>
      </c>
      <c r="F342" s="1">
        <v>7</v>
      </c>
      <c r="G342" s="1">
        <v>5</v>
      </c>
      <c r="H342" s="5">
        <f t="shared" si="5"/>
        <v>445.02346498357826</v>
      </c>
    </row>
    <row r="343" spans="1:8" x14ac:dyDescent="0.2">
      <c r="A343" s="5">
        <f>445.43807</f>
        <v>445.43806999999998</v>
      </c>
      <c r="B343" s="3">
        <f>3380000</f>
        <v>3380000</v>
      </c>
      <c r="C343" s="1" t="s">
        <v>14</v>
      </c>
      <c r="D343" s="5">
        <f>2.83159117</f>
        <v>2.8315911699999998</v>
      </c>
      <c r="E343" s="5">
        <f>5.61423177</f>
        <v>5.61423177</v>
      </c>
      <c r="F343" s="1">
        <v>5</v>
      </c>
      <c r="G343" s="1">
        <v>5</v>
      </c>
      <c r="H343" s="5">
        <f t="shared" si="5"/>
        <v>445.20035547158443</v>
      </c>
    </row>
    <row r="344" spans="1:8" x14ac:dyDescent="0.2">
      <c r="A344" s="5">
        <f>445.5027</f>
        <v>445.5027</v>
      </c>
      <c r="B344" s="3">
        <f>4100000</f>
        <v>4100000</v>
      </c>
      <c r="C344" s="1" t="s">
        <v>10</v>
      </c>
      <c r="D344" s="5">
        <f>3.88160368</f>
        <v>3.88160368</v>
      </c>
      <c r="E344" s="5">
        <f>6.66384071</f>
        <v>6.6638407099999997</v>
      </c>
      <c r="F344" s="1">
        <v>9</v>
      </c>
      <c r="G344" s="1">
        <v>7</v>
      </c>
      <c r="H344" s="5">
        <f t="shared" si="5"/>
        <v>445.26493282625279</v>
      </c>
    </row>
    <row r="345" spans="1:8" x14ac:dyDescent="0.2">
      <c r="A345" s="5">
        <f>445.63254</f>
        <v>445.63254000000001</v>
      </c>
      <c r="B345" s="3">
        <f>206000</f>
        <v>206000</v>
      </c>
      <c r="C345" s="1" t="s">
        <v>13</v>
      </c>
      <c r="D345" s="5">
        <f>3.0468689</f>
        <v>3.0468689000000002</v>
      </c>
      <c r="E345" s="5">
        <f>5.8282952</f>
        <v>5.8282952000000003</v>
      </c>
      <c r="F345" s="1">
        <v>9</v>
      </c>
      <c r="G345" s="1">
        <v>11</v>
      </c>
      <c r="H345" s="5">
        <f t="shared" si="5"/>
        <v>445.39471862679341</v>
      </c>
    </row>
    <row r="346" spans="1:8" x14ac:dyDescent="0.2">
      <c r="A346" s="5">
        <f>445.66299</f>
        <v>445.66298999999998</v>
      </c>
      <c r="B346" s="3">
        <f>680000</f>
        <v>680000</v>
      </c>
      <c r="C346" s="1" t="s">
        <v>10</v>
      </c>
      <c r="D346" s="5">
        <f>3.88160368</f>
        <v>3.88160368</v>
      </c>
      <c r="E346" s="5">
        <f>6.66284114</f>
        <v>6.6628411400000003</v>
      </c>
      <c r="F346" s="1">
        <v>9</v>
      </c>
      <c r="G346" s="1">
        <v>11</v>
      </c>
      <c r="H346" s="5">
        <f t="shared" si="5"/>
        <v>445.42495996356342</v>
      </c>
    </row>
    <row r="347" spans="1:8" x14ac:dyDescent="0.2">
      <c r="A347" s="5">
        <f>445.91173</f>
        <v>445.91172999999998</v>
      </c>
      <c r="B347" s="3">
        <f>2520000</f>
        <v>2520000</v>
      </c>
      <c r="C347" s="1" t="s">
        <v>13</v>
      </c>
      <c r="D347" s="5">
        <f>2.17594512</f>
        <v>2.1759451200000002</v>
      </c>
      <c r="E347" s="5">
        <f>4.95563019</f>
        <v>4.9556301899999999</v>
      </c>
      <c r="F347" s="1">
        <v>7</v>
      </c>
      <c r="G347" s="1">
        <v>7</v>
      </c>
      <c r="H347" s="5">
        <f t="shared" si="5"/>
        <v>445.67371953027151</v>
      </c>
    </row>
    <row r="348" spans="1:8" x14ac:dyDescent="0.2">
      <c r="A348" s="5">
        <f>446.16525</f>
        <v>446.16525000000001</v>
      </c>
      <c r="B348" s="3">
        <f>29500</f>
        <v>29500</v>
      </c>
      <c r="C348" s="1" t="s">
        <v>11</v>
      </c>
      <c r="D348" s="5">
        <f>0.08728574</f>
        <v>8.7285740000000001E-2</v>
      </c>
      <c r="E348" s="5">
        <f>2.86539125</f>
        <v>2.8653912500000001</v>
      </c>
      <c r="F348" s="1">
        <v>5</v>
      </c>
      <c r="G348" s="1">
        <v>7</v>
      </c>
      <c r="H348" s="5">
        <f t="shared" si="5"/>
        <v>445.92711825032984</v>
      </c>
    </row>
    <row r="349" spans="1:8" x14ac:dyDescent="0.2">
      <c r="A349" s="5">
        <f>446.197</f>
        <v>446.197</v>
      </c>
      <c r="B349" s="3">
        <f>2310000</f>
        <v>2310000</v>
      </c>
      <c r="C349" s="1" t="s">
        <v>13</v>
      </c>
      <c r="D349" s="5">
        <f>3.60252504</f>
        <v>3.6025250400000002</v>
      </c>
      <c r="E349" s="5">
        <f>6.3804339</f>
        <v>6.3804338999999999</v>
      </c>
      <c r="F349" s="1">
        <v>7</v>
      </c>
      <c r="G349" s="1">
        <v>9</v>
      </c>
      <c r="H349" s="5">
        <f t="shared" si="5"/>
        <v>445.95868572508283</v>
      </c>
    </row>
    <row r="350" spans="1:8" x14ac:dyDescent="0.2">
      <c r="A350" s="5">
        <f>446.47662</f>
        <v>446.47662000000003</v>
      </c>
      <c r="B350" s="3">
        <f>666000</f>
        <v>666000</v>
      </c>
      <c r="C350" s="1" t="s">
        <v>6</v>
      </c>
      <c r="D350" s="5">
        <f>3.01725044</f>
        <v>3.0172504400000002</v>
      </c>
      <c r="E350" s="5">
        <f>5.79341882</f>
        <v>5.7934188200000003</v>
      </c>
      <c r="F350" s="1">
        <v>5</v>
      </c>
      <c r="G350" s="1">
        <v>5</v>
      </c>
      <c r="H350" s="5">
        <f t="shared" si="5"/>
        <v>446.23827329582326</v>
      </c>
    </row>
    <row r="351" spans="1:8" x14ac:dyDescent="0.2">
      <c r="A351" s="5">
        <f>446.65515</f>
        <v>446.65514999999999</v>
      </c>
      <c r="B351" s="3">
        <f>12000000</f>
        <v>12000000</v>
      </c>
      <c r="C351" s="1" t="s">
        <v>14</v>
      </c>
      <c r="D351" s="5">
        <f>2.83159117</f>
        <v>2.8315911699999998</v>
      </c>
      <c r="E351" s="5">
        <f>5.60664989</f>
        <v>5.6066498899999999</v>
      </c>
      <c r="F351" s="1">
        <v>5</v>
      </c>
      <c r="G351" s="1">
        <v>7</v>
      </c>
      <c r="H351" s="5">
        <f t="shared" si="5"/>
        <v>446.41671015511446</v>
      </c>
    </row>
    <row r="352" spans="1:8" x14ac:dyDescent="0.2">
      <c r="A352" s="5">
        <f>446.69383</f>
        <v>446.69382999999999</v>
      </c>
      <c r="B352" s="3">
        <f>3200000</f>
        <v>3200000</v>
      </c>
      <c r="C352" s="1" t="s">
        <v>10</v>
      </c>
      <c r="D352" s="5">
        <f>3.92860683</f>
        <v>3.9286068300000001</v>
      </c>
      <c r="E352" s="5">
        <f>6.70342551</f>
        <v>6.7034255099999998</v>
      </c>
      <c r="F352" s="1">
        <v>5</v>
      </c>
      <c r="G352" s="1">
        <v>5</v>
      </c>
      <c r="H352" s="5">
        <f t="shared" si="5"/>
        <v>446.45532812603921</v>
      </c>
    </row>
    <row r="353" spans="1:8" x14ac:dyDescent="0.2">
      <c r="A353" s="5">
        <f>446.93753</f>
        <v>446.93752999999998</v>
      </c>
      <c r="B353" s="3">
        <f>15900000</f>
        <v>15900000</v>
      </c>
      <c r="C353" s="1" t="s">
        <v>6</v>
      </c>
      <c r="D353" s="5">
        <f>3.65369332</f>
        <v>3.6536933199999999</v>
      </c>
      <c r="E353" s="5">
        <f>6.4269984</f>
        <v>6.4269983999999996</v>
      </c>
      <c r="F353" s="1">
        <v>5</v>
      </c>
      <c r="G353" s="1">
        <v>7</v>
      </c>
      <c r="H353" s="5">
        <f t="shared" si="5"/>
        <v>446.69899218937104</v>
      </c>
    </row>
    <row r="354" spans="1:8" x14ac:dyDescent="0.2">
      <c r="A354" s="5">
        <f>447.1677</f>
        <v>447.16770000000002</v>
      </c>
      <c r="B354" s="3">
        <f>112</f>
        <v>112</v>
      </c>
      <c r="C354" s="1" t="s">
        <v>11</v>
      </c>
      <c r="D354" s="5">
        <f>0.11011433</f>
        <v>0.11011433</v>
      </c>
      <c r="E354" s="5">
        <f>2.88199261</f>
        <v>2.8819926100000002</v>
      </c>
      <c r="F354" s="1">
        <v>3</v>
      </c>
      <c r="G354" s="1">
        <v>3</v>
      </c>
      <c r="H354" s="5">
        <f t="shared" si="5"/>
        <v>446.92892657236843</v>
      </c>
    </row>
    <row r="355" spans="1:8" x14ac:dyDescent="0.2">
      <c r="A355" s="5">
        <f>447.60183</f>
        <v>447.60183000000001</v>
      </c>
      <c r="B355" s="3">
        <f>10100000</f>
        <v>10100000</v>
      </c>
      <c r="C355" s="1" t="s">
        <v>14</v>
      </c>
      <c r="D355" s="5">
        <f>2.84504259</f>
        <v>2.8450425899999998</v>
      </c>
      <c r="E355" s="5">
        <f>5.61423177</f>
        <v>5.61423177</v>
      </c>
      <c r="F355" s="1">
        <v>3</v>
      </c>
      <c r="G355" s="1">
        <v>5</v>
      </c>
      <c r="H355" s="5">
        <f t="shared" si="5"/>
        <v>447.36292963186526</v>
      </c>
    </row>
    <row r="356" spans="1:8" x14ac:dyDescent="0.2">
      <c r="A356" s="5">
        <f>447.80179</f>
        <v>447.80178999999998</v>
      </c>
      <c r="B356" s="3">
        <f>16000</f>
        <v>16000</v>
      </c>
      <c r="C356" s="1" t="s">
        <v>10</v>
      </c>
      <c r="D356" s="5">
        <f>2.1978664</f>
        <v>2.1978664000000001</v>
      </c>
      <c r="E356" s="5">
        <f>4.96581946</f>
        <v>4.9658194599999996</v>
      </c>
      <c r="F356" s="1">
        <v>5</v>
      </c>
      <c r="G356" s="1">
        <v>5</v>
      </c>
      <c r="H356" s="5">
        <f t="shared" si="5"/>
        <v>447.56271418477854</v>
      </c>
    </row>
    <row r="357" spans="1:8" x14ac:dyDescent="0.2">
      <c r="A357" s="5">
        <f>448.01363</f>
        <v>448.01362999999998</v>
      </c>
      <c r="B357" s="3">
        <f>431000</f>
        <v>431000</v>
      </c>
      <c r="C357" s="1" t="s">
        <v>5</v>
      </c>
      <c r="D357" s="5">
        <f>3.0468689</f>
        <v>3.0468689000000002</v>
      </c>
      <c r="E357" s="5">
        <f>5.81351269</f>
        <v>5.8135126899999996</v>
      </c>
      <c r="F357" s="1">
        <v>9</v>
      </c>
      <c r="G357" s="1">
        <v>9</v>
      </c>
      <c r="H357" s="5">
        <f t="shared" si="5"/>
        <v>447.77451609325652</v>
      </c>
    </row>
    <row r="358" spans="1:8" x14ac:dyDescent="0.2">
      <c r="A358" s="5">
        <f>448.1609</f>
        <v>448.16090000000003</v>
      </c>
      <c r="B358" s="3">
        <f>4500000</f>
        <v>4500000</v>
      </c>
      <c r="C358" s="1" t="s">
        <v>12</v>
      </c>
      <c r="D358" s="5">
        <f>3.68638944</f>
        <v>3.6863894400000001</v>
      </c>
      <c r="E358" s="5">
        <f>6.4521243</f>
        <v>6.4521243000000004</v>
      </c>
      <c r="F358" s="1">
        <v>3</v>
      </c>
      <c r="G358" s="1">
        <v>3</v>
      </c>
      <c r="H358" s="5">
        <f t="shared" si="5"/>
        <v>447.92167253142367</v>
      </c>
    </row>
    <row r="359" spans="1:8" x14ac:dyDescent="0.2">
      <c r="A359" s="5">
        <f>448.21696</f>
        <v>448.21695999999997</v>
      </c>
      <c r="B359" s="3">
        <f>20900</f>
        <v>20900</v>
      </c>
      <c r="C359" s="1" t="s">
        <v>11</v>
      </c>
      <c r="D359" s="5">
        <f>0.11011433</f>
        <v>0.11011433</v>
      </c>
      <c r="E359" s="5">
        <f>2.87550352</f>
        <v>2.8755035200000001</v>
      </c>
      <c r="F359" s="1">
        <v>3</v>
      </c>
      <c r="G359" s="1">
        <v>5</v>
      </c>
      <c r="H359" s="5">
        <f t="shared" si="5"/>
        <v>447.97766214948683</v>
      </c>
    </row>
    <row r="360" spans="1:8" x14ac:dyDescent="0.2">
      <c r="A360" s="5">
        <f>448.22524</f>
        <v>448.22523999999999</v>
      </c>
      <c r="B360" s="3">
        <f>2190000</f>
        <v>2190000</v>
      </c>
      <c r="C360" s="1" t="s">
        <v>5</v>
      </c>
      <c r="D360" s="5">
        <f>2.22271209</f>
        <v>2.2227120899999999</v>
      </c>
      <c r="E360" s="5">
        <f>4.98804995</f>
        <v>4.9880499499999997</v>
      </c>
      <c r="F360" s="1">
        <v>3</v>
      </c>
      <c r="G360" s="1">
        <v>5</v>
      </c>
      <c r="H360" s="5">
        <f t="shared" si="5"/>
        <v>447.98597747823231</v>
      </c>
    </row>
    <row r="361" spans="1:8" x14ac:dyDescent="0.2">
      <c r="A361" s="5">
        <f>448.2739</f>
        <v>448.27390000000003</v>
      </c>
      <c r="B361" s="3">
        <f>2300000</f>
        <v>2300000</v>
      </c>
      <c r="C361" s="1" t="s">
        <v>10</v>
      </c>
      <c r="D361" s="5">
        <f>3.65369332</f>
        <v>3.6536933199999999</v>
      </c>
      <c r="E361" s="5">
        <f>6.41873101</f>
        <v>6.4187310100000001</v>
      </c>
      <c r="F361" s="1">
        <v>5</v>
      </c>
      <c r="G361" s="1">
        <v>7</v>
      </c>
      <c r="H361" s="5">
        <f t="shared" si="5"/>
        <v>448.03461043225883</v>
      </c>
    </row>
    <row r="362" spans="1:8" x14ac:dyDescent="0.2">
      <c r="A362" s="5">
        <f>448.3777</f>
        <v>448.3777</v>
      </c>
      <c r="B362" s="3">
        <f>140000</f>
        <v>140000</v>
      </c>
      <c r="C362" s="1" t="s">
        <v>10</v>
      </c>
      <c r="D362" s="5">
        <f>3.64164057</f>
        <v>3.6416405699999999</v>
      </c>
      <c r="E362" s="5">
        <f>6.40603863</f>
        <v>6.4060386300000003</v>
      </c>
      <c r="F362" s="1">
        <v>7</v>
      </c>
      <c r="G362" s="1">
        <v>9</v>
      </c>
      <c r="H362" s="5">
        <f t="shared" si="5"/>
        <v>448.13827726013625</v>
      </c>
    </row>
    <row r="363" spans="1:8" x14ac:dyDescent="0.2">
      <c r="A363" s="5">
        <f>448.42195</f>
        <v>448.42194999999998</v>
      </c>
      <c r="B363" s="3">
        <f>5040000</f>
        <v>5040000</v>
      </c>
      <c r="C363" s="1" t="s">
        <v>13</v>
      </c>
      <c r="D363" s="5">
        <f>3.60252504</f>
        <v>3.6025250400000002</v>
      </c>
      <c r="E363" s="5">
        <f>6.36664959</f>
        <v>6.3666495899999997</v>
      </c>
      <c r="F363" s="1">
        <v>7</v>
      </c>
      <c r="G363" s="1">
        <v>9</v>
      </c>
      <c r="H363" s="5">
        <f t="shared" si="5"/>
        <v>448.18262052253152</v>
      </c>
    </row>
    <row r="364" spans="1:8" x14ac:dyDescent="0.2">
      <c r="A364" s="5">
        <f>448.56753</f>
        <v>448.56752999999998</v>
      </c>
      <c r="B364" s="3">
        <f>11000000</f>
        <v>11000000</v>
      </c>
      <c r="C364" s="1" t="s">
        <v>12</v>
      </c>
      <c r="D364" s="5">
        <f>3.68638944</f>
        <v>3.6863894400000001</v>
      </c>
      <c r="E364" s="5">
        <f>6.44961696</f>
        <v>6.4496169600000002</v>
      </c>
      <c r="F364" s="1">
        <v>3</v>
      </c>
      <c r="G364" s="1">
        <v>3</v>
      </c>
      <c r="H364" s="5">
        <f t="shared" si="5"/>
        <v>448.32811460623509</v>
      </c>
    </row>
    <row r="365" spans="1:8" x14ac:dyDescent="0.2">
      <c r="A365" s="5">
        <f>448.5972</f>
        <v>448.59719999999999</v>
      </c>
      <c r="B365" s="3">
        <f>530000</f>
        <v>530000</v>
      </c>
      <c r="C365" s="1" t="s">
        <v>10</v>
      </c>
      <c r="D365" s="5">
        <f>3.65369332</f>
        <v>3.6536933199999999</v>
      </c>
      <c r="E365" s="5">
        <f>6.41673983</f>
        <v>6.41673983</v>
      </c>
      <c r="F365" s="1">
        <v>5</v>
      </c>
      <c r="G365" s="1">
        <v>3</v>
      </c>
      <c r="H365" s="5">
        <f t="shared" si="5"/>
        <v>448.35748503910008</v>
      </c>
    </row>
    <row r="366" spans="1:8" x14ac:dyDescent="0.2">
      <c r="A366" s="5">
        <f>448.7736</f>
        <v>448.77359999999999</v>
      </c>
      <c r="B366" s="3">
        <f>58000</f>
        <v>58000</v>
      </c>
      <c r="C366" s="1" t="s">
        <v>10</v>
      </c>
      <c r="D366" s="5">
        <f>3.23672008</f>
        <v>3.23672008</v>
      </c>
      <c r="E366" s="5">
        <f>5.99867825</f>
        <v>5.9986782500000002</v>
      </c>
      <c r="F366" s="1">
        <v>13</v>
      </c>
      <c r="G366" s="1">
        <v>11</v>
      </c>
      <c r="H366" s="5">
        <f t="shared" si="5"/>
        <v>448.53415874493959</v>
      </c>
    </row>
    <row r="367" spans="1:8" x14ac:dyDescent="0.2">
      <c r="A367" s="5">
        <f>448.81328</f>
        <v>448.81328000000002</v>
      </c>
      <c r="B367" s="3">
        <f>1400000</f>
        <v>1400000</v>
      </c>
      <c r="C367" s="1" t="s">
        <v>12</v>
      </c>
      <c r="D367" s="5">
        <f>3.60252504</f>
        <v>3.6025250400000002</v>
      </c>
      <c r="E367" s="5">
        <f>6.36423934</f>
        <v>6.3642393400000001</v>
      </c>
      <c r="F367" s="1">
        <v>7</v>
      </c>
      <c r="G367" s="1">
        <v>5</v>
      </c>
      <c r="H367" s="5">
        <f t="shared" si="5"/>
        <v>448.57376603715409</v>
      </c>
    </row>
    <row r="368" spans="1:8" x14ac:dyDescent="0.2">
      <c r="A368" s="5">
        <f>448.89066</f>
        <v>448.89066000000003</v>
      </c>
      <c r="B368" s="3">
        <f>976000</f>
        <v>976000</v>
      </c>
      <c r="C368" s="1" t="s">
        <v>5</v>
      </c>
      <c r="D368" s="5">
        <f>3.65369332</f>
        <v>3.6536933199999999</v>
      </c>
      <c r="E368" s="5">
        <f>6.41493251</f>
        <v>6.4149325099999999</v>
      </c>
      <c r="F368" s="1">
        <v>5</v>
      </c>
      <c r="G368" s="1">
        <v>5</v>
      </c>
      <c r="H368" s="5">
        <f t="shared" si="5"/>
        <v>448.65094945637901</v>
      </c>
    </row>
    <row r="369" spans="1:8" x14ac:dyDescent="0.2">
      <c r="A369" s="5">
        <f>448.97388</f>
        <v>448.97388000000001</v>
      </c>
      <c r="B369" s="3">
        <f>11900</f>
        <v>11900</v>
      </c>
      <c r="C369" s="1" t="s">
        <v>11</v>
      </c>
      <c r="D369" s="5">
        <f>0.12126572</f>
        <v>0.12126571999999999</v>
      </c>
      <c r="E369" s="5">
        <f>2.88199261</f>
        <v>2.8819926100000002</v>
      </c>
      <c r="F369" s="1">
        <v>1</v>
      </c>
      <c r="G369" s="1">
        <v>3</v>
      </c>
      <c r="H369" s="5">
        <f t="shared" si="5"/>
        <v>448.73420429851461</v>
      </c>
    </row>
    <row r="370" spans="1:8" x14ac:dyDescent="0.2">
      <c r="A370" s="5">
        <f>449.00837</f>
        <v>449.00837000000001</v>
      </c>
      <c r="B370" s="3">
        <f>3300000</f>
        <v>3300000</v>
      </c>
      <c r="C370" s="1" t="s">
        <v>12</v>
      </c>
      <c r="D370" s="5">
        <f>3.01725044</f>
        <v>3.0172504400000002</v>
      </c>
      <c r="E370" s="5">
        <f>5.77776507</f>
        <v>5.7777650700000001</v>
      </c>
      <c r="F370" s="1">
        <v>5</v>
      </c>
      <c r="G370" s="1">
        <v>3</v>
      </c>
      <c r="H370" s="5">
        <f t="shared" si="5"/>
        <v>448.76870812659422</v>
      </c>
    </row>
    <row r="371" spans="1:8" x14ac:dyDescent="0.2">
      <c r="A371" s="5">
        <f>449.2678</f>
        <v>449.26780000000002</v>
      </c>
      <c r="B371" s="3">
        <f>2600000</f>
        <v>2600000</v>
      </c>
      <c r="C371" s="1" t="s">
        <v>12</v>
      </c>
      <c r="D371" s="5">
        <f>3.98410712</f>
        <v>3.98410712</v>
      </c>
      <c r="E371" s="5">
        <f>6.74302768</f>
        <v>6.74302768</v>
      </c>
      <c r="F371" s="1">
        <v>5</v>
      </c>
      <c r="G371" s="1">
        <v>3</v>
      </c>
      <c r="H371" s="5">
        <f t="shared" si="5"/>
        <v>449.02800110694847</v>
      </c>
    </row>
    <row r="372" spans="1:8" x14ac:dyDescent="0.2">
      <c r="A372" s="5">
        <f>449.45629</f>
        <v>449.45629000000002</v>
      </c>
      <c r="B372" s="3">
        <f>3450000</f>
        <v>3450000</v>
      </c>
      <c r="C372" s="1" t="s">
        <v>13</v>
      </c>
      <c r="D372" s="5">
        <f>2.1978664</f>
        <v>2.1978664000000001</v>
      </c>
      <c r="E372" s="5">
        <f>4.95563019</f>
        <v>4.9556301899999999</v>
      </c>
      <c r="F372" s="1">
        <v>5</v>
      </c>
      <c r="G372" s="1">
        <v>7</v>
      </c>
      <c r="H372" s="5">
        <f t="shared" si="5"/>
        <v>449.21635013188097</v>
      </c>
    </row>
    <row r="373" spans="1:8" x14ac:dyDescent="0.2">
      <c r="A373" s="5">
        <f>449.59528</f>
        <v>449.59528</v>
      </c>
      <c r="B373" s="3">
        <f>1400000</f>
        <v>1400000</v>
      </c>
      <c r="C373" s="1" t="s">
        <v>12</v>
      </c>
      <c r="D373" s="5">
        <f>3.65369332</f>
        <v>3.6536933199999999</v>
      </c>
      <c r="E373" s="5">
        <f>6.41060472</f>
        <v>6.4106047200000003</v>
      </c>
      <c r="F373" s="1">
        <v>5</v>
      </c>
      <c r="G373" s="1">
        <v>5</v>
      </c>
      <c r="H373" s="5">
        <f t="shared" si="5"/>
        <v>449.35524016827776</v>
      </c>
    </row>
    <row r="374" spans="1:8" x14ac:dyDescent="0.2">
      <c r="A374" s="5">
        <f>450.25906</f>
        <v>450.25905999999998</v>
      </c>
      <c r="B374" s="3">
        <f>120000</f>
        <v>120000</v>
      </c>
      <c r="C374" s="1" t="s">
        <v>10</v>
      </c>
      <c r="D374" s="5">
        <f>3.5732189</f>
        <v>3.5732189000000001</v>
      </c>
      <c r="E374" s="5">
        <f>6.32606584</f>
        <v>6.3260658400000001</v>
      </c>
      <c r="F374" s="1">
        <v>11</v>
      </c>
      <c r="G374" s="1">
        <v>13</v>
      </c>
      <c r="H374" s="5">
        <f t="shared" si="5"/>
        <v>450.01869383615747</v>
      </c>
    </row>
    <row r="375" spans="1:8" x14ac:dyDescent="0.2">
      <c r="A375" s="5">
        <f>450.48303</f>
        <v>450.48302999999999</v>
      </c>
      <c r="B375" s="3">
        <f>280000</f>
        <v>280000</v>
      </c>
      <c r="C375" s="1" t="s">
        <v>12</v>
      </c>
      <c r="D375" s="5">
        <f>3.2657061</f>
        <v>3.2657061000000001</v>
      </c>
      <c r="E375" s="5">
        <f>6.01718438</f>
        <v>6.0171843799999998</v>
      </c>
      <c r="F375" s="1">
        <v>5</v>
      </c>
      <c r="G375" s="1">
        <v>7</v>
      </c>
      <c r="H375" s="5">
        <f t="shared" si="5"/>
        <v>450.24254535262514</v>
      </c>
    </row>
    <row r="376" spans="1:8" x14ac:dyDescent="0.2">
      <c r="A376" s="5">
        <f>451.41836</f>
        <v>451.41836000000001</v>
      </c>
      <c r="B376" s="3">
        <f>440000</f>
        <v>440000</v>
      </c>
      <c r="C376" s="1" t="s">
        <v>15</v>
      </c>
      <c r="D376" s="5">
        <f>3.0468689</f>
        <v>3.0468689000000002</v>
      </c>
      <c r="E376" s="5">
        <f>5.79264615</f>
        <v>5.7926461500000004</v>
      </c>
      <c r="F376" s="1">
        <v>9</v>
      </c>
      <c r="G376" s="1">
        <v>9</v>
      </c>
      <c r="H376" s="5">
        <f t="shared" si="5"/>
        <v>451.17737947230165</v>
      </c>
    </row>
    <row r="377" spans="1:8" x14ac:dyDescent="0.2">
      <c r="A377" s="5">
        <f>451.5166</f>
        <v>451.51659999999998</v>
      </c>
      <c r="B377" s="3">
        <f>44000</f>
        <v>44000</v>
      </c>
      <c r="C377" s="1" t="s">
        <v>10</v>
      </c>
      <c r="D377" s="5">
        <f>2.87550352</f>
        <v>2.8755035200000001</v>
      </c>
      <c r="E377" s="5">
        <f>5.62068415</f>
        <v>5.6206841499999998</v>
      </c>
      <c r="F377" s="1">
        <v>5</v>
      </c>
      <c r="G377" s="1">
        <v>5</v>
      </c>
      <c r="H377" s="5">
        <f t="shared" si="5"/>
        <v>451.2754354782341</v>
      </c>
    </row>
    <row r="378" spans="1:8" x14ac:dyDescent="0.2">
      <c r="A378" s="5">
        <f>451.75242</f>
        <v>451.75241999999997</v>
      </c>
      <c r="B378" s="3">
        <f>1510000</f>
        <v>1510000</v>
      </c>
      <c r="C378" s="1" t="s">
        <v>6</v>
      </c>
      <c r="D378" s="5">
        <f>3.0713388</f>
        <v>3.0713387999999999</v>
      </c>
      <c r="E378" s="5">
        <f>5.81508605</f>
        <v>5.8150860499999997</v>
      </c>
      <c r="F378" s="1">
        <v>3</v>
      </c>
      <c r="G378" s="1">
        <v>3</v>
      </c>
      <c r="H378" s="5">
        <f t="shared" si="5"/>
        <v>451.5111894033472</v>
      </c>
    </row>
    <row r="379" spans="1:8" x14ac:dyDescent="0.2">
      <c r="A379" s="5">
        <f>451.84318</f>
        <v>451.84318000000002</v>
      </c>
      <c r="B379" s="3">
        <f>21000</f>
        <v>21000</v>
      </c>
      <c r="C379" s="1" t="s">
        <v>10</v>
      </c>
      <c r="D379" s="5">
        <f>3.23672008</f>
        <v>3.23672008</v>
      </c>
      <c r="E379" s="5">
        <f>5.97991659</f>
        <v>5.9799165900000002</v>
      </c>
      <c r="F379" s="1">
        <v>13</v>
      </c>
      <c r="G379" s="1">
        <v>11</v>
      </c>
      <c r="H379" s="5">
        <f t="shared" si="5"/>
        <v>451.60183740160227</v>
      </c>
    </row>
    <row r="380" spans="1:8" x14ac:dyDescent="0.2">
      <c r="A380" s="5">
        <f>451.85768</f>
        <v>451.85768000000002</v>
      </c>
      <c r="B380" s="3">
        <f>9100</f>
        <v>9100</v>
      </c>
      <c r="C380" s="1" t="s">
        <v>10</v>
      </c>
      <c r="D380" s="5">
        <f>2.22271209</f>
        <v>2.2227120899999999</v>
      </c>
      <c r="E380" s="5">
        <f>4.96581946</f>
        <v>4.9658194599999996</v>
      </c>
      <c r="F380" s="1">
        <v>3</v>
      </c>
      <c r="G380" s="1">
        <v>5</v>
      </c>
      <c r="H380" s="5">
        <f t="shared" si="5"/>
        <v>451.61651265209611</v>
      </c>
    </row>
    <row r="381" spans="1:8" x14ac:dyDescent="0.2">
      <c r="A381" s="5">
        <f>452.33984</f>
        <v>452.33983999999998</v>
      </c>
      <c r="B381" s="3">
        <f>520000</f>
        <v>520000</v>
      </c>
      <c r="C381" s="1" t="s">
        <v>12</v>
      </c>
      <c r="D381" s="5">
        <f>3.65369332</f>
        <v>3.6536933199999999</v>
      </c>
      <c r="E381" s="5">
        <f>6.39387714</f>
        <v>6.3938771399999998</v>
      </c>
      <c r="F381" s="1">
        <v>5</v>
      </c>
      <c r="G381" s="1">
        <v>7</v>
      </c>
      <c r="H381" s="5">
        <f t="shared" si="5"/>
        <v>452.09835020106897</v>
      </c>
    </row>
    <row r="382" spans="1:8" x14ac:dyDescent="0.2">
      <c r="A382" s="5">
        <f>452.5863</f>
        <v>452.58629999999999</v>
      </c>
      <c r="B382" s="3">
        <f>47000</f>
        <v>47000</v>
      </c>
      <c r="C382" s="1" t="s">
        <v>10</v>
      </c>
      <c r="D382" s="5">
        <f>2.88199261</f>
        <v>2.8819926100000002</v>
      </c>
      <c r="E382" s="5">
        <f>5.62068415</f>
        <v>5.6206841499999998</v>
      </c>
      <c r="F382" s="1">
        <v>3</v>
      </c>
      <c r="G382" s="1">
        <v>5</v>
      </c>
      <c r="H382" s="5">
        <f t="shared" si="5"/>
        <v>452.34469314118644</v>
      </c>
    </row>
    <row r="383" spans="1:8" x14ac:dyDescent="0.2">
      <c r="A383" s="5">
        <f>452.77824</f>
        <v>452.77823999999998</v>
      </c>
      <c r="B383" s="3">
        <f>130000</f>
        <v>130000</v>
      </c>
      <c r="C383" s="1" t="s">
        <v>10</v>
      </c>
      <c r="D383" s="5">
        <f>3.25148176</f>
        <v>3.2514817599999999</v>
      </c>
      <c r="E383" s="5">
        <f>5.98901244</f>
        <v>5.9890124399999998</v>
      </c>
      <c r="F383" s="1">
        <v>7</v>
      </c>
      <c r="G383" s="1">
        <v>5</v>
      </c>
      <c r="H383" s="5">
        <f t="shared" si="5"/>
        <v>452.53651157972155</v>
      </c>
    </row>
    <row r="384" spans="1:8" x14ac:dyDescent="0.2">
      <c r="A384" s="5">
        <f>452.86139</f>
        <v>452.86138999999997</v>
      </c>
      <c r="B384" s="3">
        <f>5440000</f>
        <v>5440000</v>
      </c>
      <c r="C384" s="1" t="s">
        <v>13</v>
      </c>
      <c r="D384" s="5">
        <f>2.17594512</f>
        <v>2.1759451200000002</v>
      </c>
      <c r="E384" s="5">
        <f>4.91297355</f>
        <v>4.9129735500000002</v>
      </c>
      <c r="F384" s="1">
        <v>7</v>
      </c>
      <c r="G384" s="1">
        <v>9</v>
      </c>
      <c r="H384" s="5">
        <f t="shared" si="5"/>
        <v>452.61955290309612</v>
      </c>
    </row>
    <row r="385" spans="1:8" x14ac:dyDescent="0.2">
      <c r="A385" s="5">
        <f>452.87567</f>
        <v>452.87567000000001</v>
      </c>
      <c r="B385" s="3">
        <f>369000</f>
        <v>369000</v>
      </c>
      <c r="C385" s="1" t="s">
        <v>5</v>
      </c>
      <c r="D385" s="5">
        <f>3.30140276</f>
        <v>3.3014027600000002</v>
      </c>
      <c r="E385" s="5">
        <f>6.03834476</f>
        <v>6.0383447600000002</v>
      </c>
      <c r="F385" s="1">
        <v>9</v>
      </c>
      <c r="G385" s="1">
        <v>9</v>
      </c>
      <c r="H385" s="5">
        <f t="shared" si="5"/>
        <v>452.63384619391383</v>
      </c>
    </row>
    <row r="386" spans="1:8" x14ac:dyDescent="0.2">
      <c r="A386" s="5">
        <f>453.11478</f>
        <v>453.11478</v>
      </c>
      <c r="B386" s="3">
        <f>252000</f>
        <v>252000</v>
      </c>
      <c r="C386" s="1" t="s">
        <v>11</v>
      </c>
      <c r="D386" s="5">
        <f>1.48486439</f>
        <v>1.48486439</v>
      </c>
      <c r="E386" s="5">
        <f>4.22036211</f>
        <v>4.2203621099999999</v>
      </c>
      <c r="F386" s="1">
        <v>9</v>
      </c>
      <c r="G386" s="1">
        <v>9</v>
      </c>
      <c r="H386" s="5">
        <f t="shared" si="5"/>
        <v>452.87282647402941</v>
      </c>
    </row>
    <row r="387" spans="1:8" x14ac:dyDescent="0.2">
      <c r="A387" s="5">
        <f>453.7673</f>
        <v>453.76729999999998</v>
      </c>
      <c r="B387" s="3">
        <f>31000</f>
        <v>31000</v>
      </c>
      <c r="C387" s="1" t="s">
        <v>10</v>
      </c>
      <c r="D387" s="5">
        <f>3.26711257</f>
        <v>3.2671125700000001</v>
      </c>
      <c r="E387" s="5">
        <f>5.99867825</f>
        <v>5.9986782500000002</v>
      </c>
      <c r="F387" s="1">
        <v>11</v>
      </c>
      <c r="G387" s="1">
        <v>11</v>
      </c>
      <c r="H387" s="5">
        <f t="shared" ref="H387:H450" si="6">$J$2*$J$1/((E387-D387)*$J$3)*1000000000</f>
        <v>453.52472881767318</v>
      </c>
    </row>
    <row r="388" spans="1:8" x14ac:dyDescent="0.2">
      <c r="A388" s="5">
        <f>454.19413</f>
        <v>454.19412999999997</v>
      </c>
      <c r="B388" s="3">
        <f>30000</f>
        <v>30000</v>
      </c>
      <c r="C388" s="1" t="s">
        <v>10</v>
      </c>
      <c r="D388" s="5">
        <f>3.26711257</f>
        <v>3.2671125700000001</v>
      </c>
      <c r="E388" s="5">
        <f>5.99610917</f>
        <v>5.9961091700000004</v>
      </c>
      <c r="F388" s="1">
        <v>11</v>
      </c>
      <c r="G388" s="1">
        <v>9</v>
      </c>
      <c r="H388" s="5">
        <f t="shared" si="6"/>
        <v>453.95167742959541</v>
      </c>
    </row>
    <row r="389" spans="1:8" x14ac:dyDescent="0.2">
      <c r="A389" s="5">
        <f>454.24118</f>
        <v>454.24117999999999</v>
      </c>
      <c r="B389" s="3">
        <f>450000</f>
        <v>450000</v>
      </c>
      <c r="C389" s="1" t="s">
        <v>12</v>
      </c>
      <c r="D389" s="5">
        <f>3.63977237</f>
        <v>3.6397723700000002</v>
      </c>
      <c r="E389" s="5">
        <f>6.36848691</f>
        <v>6.3684869099999997</v>
      </c>
      <c r="F389" s="1">
        <v>5</v>
      </c>
      <c r="G389" s="1">
        <v>7</v>
      </c>
      <c r="H389" s="5">
        <f t="shared" si="6"/>
        <v>453.99860121303249</v>
      </c>
    </row>
    <row r="390" spans="1:8" x14ac:dyDescent="0.2">
      <c r="A390" s="5">
        <f>454.70166</f>
        <v>454.70166</v>
      </c>
      <c r="B390" s="3">
        <f>15000</f>
        <v>15000</v>
      </c>
      <c r="C390" s="1" t="s">
        <v>10</v>
      </c>
      <c r="D390" s="5">
        <f>1.55735733</f>
        <v>1.5573573300000001</v>
      </c>
      <c r="E390" s="5">
        <f>4.28330826</f>
        <v>4.2833082600000001</v>
      </c>
      <c r="F390" s="1">
        <v>7</v>
      </c>
      <c r="G390" s="1">
        <v>5</v>
      </c>
      <c r="H390" s="5">
        <f t="shared" si="6"/>
        <v>454.45887181456453</v>
      </c>
    </row>
    <row r="391" spans="1:8" x14ac:dyDescent="0.2">
      <c r="A391" s="5">
        <f>454.78471</f>
        <v>454.78471000000002</v>
      </c>
      <c r="B391" s="3">
        <f>4480000</f>
        <v>4480000</v>
      </c>
      <c r="C391" s="1" t="s">
        <v>15</v>
      </c>
      <c r="D391" s="5">
        <f>3.54652001</f>
        <v>3.5465200100000001</v>
      </c>
      <c r="E391" s="5">
        <f>6.27197352</f>
        <v>6.2719735200000004</v>
      </c>
      <c r="F391" s="1">
        <v>5</v>
      </c>
      <c r="G391" s="1">
        <v>7</v>
      </c>
      <c r="H391" s="5">
        <f t="shared" si="6"/>
        <v>454.54181468304068</v>
      </c>
    </row>
    <row r="392" spans="1:8" x14ac:dyDescent="0.2">
      <c r="A392" s="5">
        <f>455.16467</f>
        <v>455.16467</v>
      </c>
      <c r="B392" s="3">
        <f>330000</f>
        <v>330000</v>
      </c>
      <c r="C392" s="1" t="s">
        <v>10</v>
      </c>
      <c r="D392" s="5">
        <f>3.94332623</f>
        <v>3.9433262299999998</v>
      </c>
      <c r="E392" s="5">
        <f>6.66650376</f>
        <v>6.6665037600000003</v>
      </c>
      <c r="F392" s="1">
        <v>7</v>
      </c>
      <c r="G392" s="1">
        <v>9</v>
      </c>
      <c r="H392" s="5">
        <f t="shared" si="6"/>
        <v>454.92171208891506</v>
      </c>
    </row>
    <row r="393" spans="1:8" x14ac:dyDescent="0.2">
      <c r="A393" s="5">
        <f>455.44509</f>
        <v>455.44508999999999</v>
      </c>
      <c r="B393" s="3">
        <f>47000</f>
        <v>47000</v>
      </c>
      <c r="C393" s="1" t="s">
        <v>12</v>
      </c>
      <c r="D393" s="5">
        <f>2.86539125</f>
        <v>2.8653912500000001</v>
      </c>
      <c r="E393" s="5">
        <f>5.58689276</f>
        <v>5.5868927599999996</v>
      </c>
      <c r="F393" s="1">
        <v>7</v>
      </c>
      <c r="G393" s="1">
        <v>7</v>
      </c>
      <c r="H393" s="5">
        <f t="shared" si="6"/>
        <v>455.20187283293598</v>
      </c>
    </row>
    <row r="394" spans="1:8" x14ac:dyDescent="0.2">
      <c r="A394" s="5">
        <f>455.61256</f>
        <v>455.61255999999997</v>
      </c>
      <c r="B394" s="3">
        <f>10500000</f>
        <v>10500000</v>
      </c>
      <c r="C394" s="1" t="s">
        <v>13</v>
      </c>
      <c r="D394" s="5">
        <f>3.60252504</f>
        <v>3.6025250400000002</v>
      </c>
      <c r="E394" s="5">
        <f>6.32302612</f>
        <v>6.3230261199999998</v>
      </c>
      <c r="F394" s="1">
        <v>7</v>
      </c>
      <c r="G394" s="1">
        <v>5</v>
      </c>
      <c r="H394" s="5">
        <f t="shared" si="6"/>
        <v>455.36926758715464</v>
      </c>
    </row>
    <row r="395" spans="1:8" x14ac:dyDescent="0.2">
      <c r="A395" s="5">
        <f>455.69247</f>
        <v>455.69247000000001</v>
      </c>
      <c r="B395" s="3">
        <f>140000</f>
        <v>140000</v>
      </c>
      <c r="C395" s="1" t="s">
        <v>12</v>
      </c>
      <c r="D395" s="5">
        <f>3.25148176</f>
        <v>3.2514817599999999</v>
      </c>
      <c r="E395" s="5">
        <f>5.97150625</f>
        <v>5.97150625</v>
      </c>
      <c r="F395" s="1">
        <v>7</v>
      </c>
      <c r="G395" s="1">
        <v>5</v>
      </c>
      <c r="H395" s="5">
        <f t="shared" si="6"/>
        <v>455.44905526555129</v>
      </c>
    </row>
    <row r="396" spans="1:8" x14ac:dyDescent="0.2">
      <c r="A396" s="5">
        <f>456.00878</f>
        <v>456.00878</v>
      </c>
      <c r="B396" s="3">
        <f>470000</f>
        <v>470000</v>
      </c>
      <c r="C396" s="1" t="s">
        <v>12</v>
      </c>
      <c r="D396" s="5">
        <f>3.60252504</f>
        <v>3.6025250400000002</v>
      </c>
      <c r="E396" s="5">
        <f>6.32066224</f>
        <v>6.3206622399999999</v>
      </c>
      <c r="F396" s="1">
        <v>7</v>
      </c>
      <c r="G396" s="1">
        <v>9</v>
      </c>
      <c r="H396" s="5">
        <f t="shared" si="6"/>
        <v>455.76528817958967</v>
      </c>
    </row>
    <row r="397" spans="1:8" x14ac:dyDescent="0.2">
      <c r="A397" s="5">
        <f>456.53099</f>
        <v>456.53098999999997</v>
      </c>
      <c r="B397" s="3">
        <f>220000</f>
        <v>220000</v>
      </c>
      <c r="C397" s="1" t="s">
        <v>10</v>
      </c>
      <c r="D397" s="5">
        <f>3.2739844</f>
        <v>3.2739843999999998</v>
      </c>
      <c r="E397" s="5">
        <f>5.98901244</f>
        <v>5.9890124399999998</v>
      </c>
      <c r="F397" s="1">
        <v>3</v>
      </c>
      <c r="G397" s="1">
        <v>5</v>
      </c>
      <c r="H397" s="5">
        <f t="shared" si="6"/>
        <v>456.28721546082556</v>
      </c>
    </row>
    <row r="398" spans="1:8" x14ac:dyDescent="0.2">
      <c r="A398" s="5">
        <f>456.56616</f>
        <v>456.56616000000002</v>
      </c>
      <c r="B398" s="3">
        <f>400000</f>
        <v>400000</v>
      </c>
      <c r="C398" s="1" t="s">
        <v>10</v>
      </c>
      <c r="D398" s="5">
        <f>3.24096914</f>
        <v>3.2409691399999998</v>
      </c>
      <c r="E398" s="5">
        <f>5.9557884</f>
        <v>5.9557884000000003</v>
      </c>
      <c r="F398" s="1">
        <v>7</v>
      </c>
      <c r="G398" s="1">
        <v>5</v>
      </c>
      <c r="H398" s="5">
        <f t="shared" si="6"/>
        <v>456.32230569546749</v>
      </c>
    </row>
    <row r="399" spans="1:8" x14ac:dyDescent="0.2">
      <c r="A399" s="5">
        <f>456.65142</f>
        <v>456.65141999999997</v>
      </c>
      <c r="B399" s="3">
        <f>448000</f>
        <v>448000</v>
      </c>
      <c r="C399" s="1" t="s">
        <v>15</v>
      </c>
      <c r="D399" s="5">
        <f>3.30092244</f>
        <v>3.3009224399999999</v>
      </c>
      <c r="E399" s="5">
        <f>6.01523448</f>
        <v>6.0152344800000002</v>
      </c>
      <c r="F399" s="1">
        <v>5</v>
      </c>
      <c r="G399" s="1">
        <v>3</v>
      </c>
      <c r="H399" s="5">
        <f t="shared" si="6"/>
        <v>456.40757805785034</v>
      </c>
    </row>
    <row r="400" spans="1:8" x14ac:dyDescent="0.2">
      <c r="A400" s="5">
        <f>456.69882</f>
        <v>456.69882000000001</v>
      </c>
      <c r="B400" s="3">
        <f>590000</f>
        <v>590000</v>
      </c>
      <c r="C400" s="1" t="s">
        <v>12</v>
      </c>
      <c r="D400" s="5">
        <f>3.41489715</f>
        <v>3.4148971499999998</v>
      </c>
      <c r="E400" s="5">
        <f>6.12892712</f>
        <v>6.1289271200000002</v>
      </c>
      <c r="F400" s="1">
        <v>3</v>
      </c>
      <c r="G400" s="1">
        <v>5</v>
      </c>
      <c r="H400" s="5">
        <f t="shared" si="6"/>
        <v>456.45501264293802</v>
      </c>
    </row>
    <row r="401" spans="1:8" x14ac:dyDescent="0.2">
      <c r="A401" s="5">
        <f>457.14375</f>
        <v>457.14375000000001</v>
      </c>
      <c r="B401" s="3">
        <f>28000</f>
        <v>28000</v>
      </c>
      <c r="C401" s="1" t="s">
        <v>10</v>
      </c>
      <c r="D401" s="5">
        <f>2.87550352</f>
        <v>2.8755035200000001</v>
      </c>
      <c r="E401" s="5">
        <f>5.58689276</f>
        <v>5.5868927599999996</v>
      </c>
      <c r="F401" s="1">
        <v>5</v>
      </c>
      <c r="G401" s="1">
        <v>7</v>
      </c>
      <c r="H401" s="5">
        <f t="shared" si="6"/>
        <v>456.89957236448396</v>
      </c>
    </row>
    <row r="402" spans="1:8" x14ac:dyDescent="0.2">
      <c r="A402" s="5">
        <f>457.42159</f>
        <v>457.42158999999998</v>
      </c>
      <c r="B402" s="3">
        <f>160000</f>
        <v>160000</v>
      </c>
      <c r="C402" s="1" t="s">
        <v>10</v>
      </c>
      <c r="D402" s="5">
        <f>3.21118938</f>
        <v>3.21118938</v>
      </c>
      <c r="E402" s="5">
        <f>5.92093198</f>
        <v>5.9209319799999998</v>
      </c>
      <c r="F402" s="1">
        <v>9</v>
      </c>
      <c r="G402" s="1">
        <v>7</v>
      </c>
      <c r="H402" s="5">
        <f t="shared" si="6"/>
        <v>457.17721833419279</v>
      </c>
    </row>
    <row r="403" spans="1:8" x14ac:dyDescent="0.2">
      <c r="A403" s="5">
        <f>457.47176</f>
        <v>457.47176000000002</v>
      </c>
      <c r="B403" s="3">
        <f>82000</f>
        <v>82000</v>
      </c>
      <c r="C403" s="1" t="s">
        <v>12</v>
      </c>
      <c r="D403" s="5">
        <f>2.27860466</f>
        <v>2.2786046600000001</v>
      </c>
      <c r="E403" s="5">
        <f>4.98804995</f>
        <v>4.9880499499999997</v>
      </c>
      <c r="F403" s="1">
        <v>5</v>
      </c>
      <c r="G403" s="1">
        <v>5</v>
      </c>
      <c r="H403" s="5">
        <f t="shared" si="6"/>
        <v>457.22738482372648</v>
      </c>
    </row>
    <row r="404" spans="1:8" x14ac:dyDescent="0.2">
      <c r="A404" s="5">
        <f>458.05771</f>
        <v>458.05770999999999</v>
      </c>
      <c r="B404" s="3">
        <f>400000</f>
        <v>400000</v>
      </c>
      <c r="C404" s="1" t="s">
        <v>12</v>
      </c>
      <c r="D404" s="5">
        <f>3.65369332</f>
        <v>3.6536933199999999</v>
      </c>
      <c r="E404" s="5">
        <f>6.35967275</f>
        <v>6.3596727499999997</v>
      </c>
      <c r="F404" s="1">
        <v>5</v>
      </c>
      <c r="G404" s="1">
        <v>7</v>
      </c>
      <c r="H404" s="5">
        <f t="shared" si="6"/>
        <v>457.81300867821562</v>
      </c>
    </row>
    <row r="405" spans="1:8" x14ac:dyDescent="0.2">
      <c r="A405" s="5">
        <f>458.1508</f>
        <v>458.1508</v>
      </c>
      <c r="B405" s="3">
        <f>590000</f>
        <v>590000</v>
      </c>
      <c r="C405" s="1" t="s">
        <v>12</v>
      </c>
      <c r="D405" s="5">
        <f>3.24096914</f>
        <v>3.2409691399999998</v>
      </c>
      <c r="E405" s="5">
        <f>5.9463987</f>
        <v>5.9463986999999996</v>
      </c>
      <c r="F405" s="1">
        <v>7</v>
      </c>
      <c r="G405" s="1">
        <v>9</v>
      </c>
      <c r="H405" s="5">
        <f t="shared" si="6"/>
        <v>457.90605772403222</v>
      </c>
    </row>
    <row r="406" spans="1:8" x14ac:dyDescent="0.2">
      <c r="A406" s="5">
        <f>458.71273</f>
        <v>458.71273000000002</v>
      </c>
      <c r="B406" s="3">
        <f>645000</f>
        <v>645000</v>
      </c>
      <c r="C406" s="1" t="s">
        <v>5</v>
      </c>
      <c r="D406" s="5">
        <f>3.5732189</f>
        <v>3.5732189000000001</v>
      </c>
      <c r="E406" s="5">
        <f>6.27533411</f>
        <v>6.2753341100000002</v>
      </c>
      <c r="F406" s="1">
        <v>11</v>
      </c>
      <c r="G406" s="1">
        <v>9</v>
      </c>
      <c r="H406" s="5">
        <f t="shared" si="6"/>
        <v>458.46771436132173</v>
      </c>
    </row>
    <row r="407" spans="1:8" x14ac:dyDescent="0.2">
      <c r="A407" s="5">
        <f>458.772</f>
        <v>458.77199999999999</v>
      </c>
      <c r="B407" s="3">
        <f>790000</f>
        <v>790000</v>
      </c>
      <c r="C407" s="1" t="s">
        <v>10</v>
      </c>
      <c r="D407" s="5">
        <f>3.98410712</f>
        <v>3.98410712</v>
      </c>
      <c r="E407" s="5">
        <f>6.6858727</f>
        <v>6.6858727</v>
      </c>
      <c r="F407" s="1">
        <v>5</v>
      </c>
      <c r="G407" s="1">
        <v>3</v>
      </c>
      <c r="H407" s="5">
        <f t="shared" si="6"/>
        <v>458.52704373769649</v>
      </c>
    </row>
    <row r="408" spans="1:8" x14ac:dyDescent="0.2">
      <c r="A408" s="5">
        <f>459.26508</f>
        <v>459.26508000000001</v>
      </c>
      <c r="B408" s="3">
        <f>161000</f>
        <v>161000</v>
      </c>
      <c r="C408" s="1" t="s">
        <v>11</v>
      </c>
      <c r="D408" s="5">
        <f>1.55735733</f>
        <v>1.5573573300000001</v>
      </c>
      <c r="E408" s="5">
        <f>4.2562228</f>
        <v>4.2562227999999998</v>
      </c>
      <c r="F408" s="1">
        <v>7</v>
      </c>
      <c r="G408" s="1">
        <v>7</v>
      </c>
      <c r="H408" s="5">
        <f t="shared" si="6"/>
        <v>459.01976146653328</v>
      </c>
    </row>
    <row r="409" spans="1:8" x14ac:dyDescent="0.2">
      <c r="A409" s="5">
        <f>459.3525</f>
        <v>459.35250000000002</v>
      </c>
      <c r="B409" s="3">
        <f>580000</f>
        <v>580000</v>
      </c>
      <c r="C409" s="1" t="s">
        <v>10</v>
      </c>
      <c r="D409" s="5">
        <f>3.94332623</f>
        <v>3.9433262299999998</v>
      </c>
      <c r="E409" s="5">
        <f>6.64167865</f>
        <v>6.6416786500000002</v>
      </c>
      <c r="F409" s="1">
        <v>7</v>
      </c>
      <c r="G409" s="1">
        <v>5</v>
      </c>
      <c r="H409" s="5">
        <f t="shared" si="6"/>
        <v>459.10703697838801</v>
      </c>
    </row>
    <row r="410" spans="1:8" x14ac:dyDescent="0.2">
      <c r="A410" s="5">
        <f>459.5358</f>
        <v>459.53579999999999</v>
      </c>
      <c r="B410" s="3">
        <f>501000</f>
        <v>501000</v>
      </c>
      <c r="C410" s="1" t="s">
        <v>13</v>
      </c>
      <c r="D410" s="5">
        <f>3.30140276</f>
        <v>3.3014027600000002</v>
      </c>
      <c r="E410" s="5">
        <f>5.99867825</f>
        <v>5.9986782500000002</v>
      </c>
      <c r="F410" s="1">
        <v>9</v>
      </c>
      <c r="G410" s="1">
        <v>11</v>
      </c>
      <c r="H410" s="5">
        <f t="shared" si="6"/>
        <v>459.29034274124626</v>
      </c>
    </row>
    <row r="411" spans="1:8" x14ac:dyDescent="0.2">
      <c r="A411" s="5">
        <f>459.60602</f>
        <v>459.60602</v>
      </c>
      <c r="B411" s="3">
        <f>1500000</f>
        <v>1500000</v>
      </c>
      <c r="C411" s="1" t="s">
        <v>6</v>
      </c>
      <c r="D411" s="5">
        <f>3.60252504</f>
        <v>3.6025250400000002</v>
      </c>
      <c r="E411" s="5">
        <f>6.29938878</f>
        <v>6.2993887800000001</v>
      </c>
      <c r="F411" s="1">
        <v>7</v>
      </c>
      <c r="G411" s="1">
        <v>9</v>
      </c>
      <c r="H411" s="5">
        <f t="shared" si="6"/>
        <v>459.36046597210094</v>
      </c>
    </row>
    <row r="412" spans="1:8" x14ac:dyDescent="0.2">
      <c r="A412" s="5">
        <f>459.64152</f>
        <v>459.64152000000001</v>
      </c>
      <c r="B412" s="3">
        <f>230000</f>
        <v>230000</v>
      </c>
      <c r="C412" s="1" t="s">
        <v>10</v>
      </c>
      <c r="D412" s="5">
        <f>3.65369332</f>
        <v>3.6536933199999999</v>
      </c>
      <c r="E412" s="5">
        <f>6.35034852</f>
        <v>6.3503485199999998</v>
      </c>
      <c r="F412" s="1">
        <v>5</v>
      </c>
      <c r="G412" s="1">
        <v>7</v>
      </c>
      <c r="H412" s="5">
        <f t="shared" si="6"/>
        <v>459.39598962064667</v>
      </c>
    </row>
    <row r="413" spans="1:8" x14ac:dyDescent="0.2">
      <c r="A413" s="5">
        <f>460.09337</f>
        <v>460.09336999999999</v>
      </c>
      <c r="B413" s="3">
        <f>77900</f>
        <v>77900</v>
      </c>
      <c r="C413" s="1" t="s">
        <v>5</v>
      </c>
      <c r="D413" s="5">
        <f>3.23672008</f>
        <v>3.23672008</v>
      </c>
      <c r="E413" s="5">
        <f>5.93072834</f>
        <v>5.9307283399999999</v>
      </c>
      <c r="F413" s="1">
        <v>13</v>
      </c>
      <c r="G413" s="1">
        <v>11</v>
      </c>
      <c r="H413" s="5">
        <f t="shared" si="6"/>
        <v>459.84735929119347</v>
      </c>
    </row>
    <row r="414" spans="1:8" x14ac:dyDescent="0.2">
      <c r="A414" s="5">
        <f>460.20007</f>
        <v>460.20006999999998</v>
      </c>
      <c r="B414" s="3">
        <f>73600</f>
        <v>73600</v>
      </c>
      <c r="C414" s="1" t="s">
        <v>11</v>
      </c>
      <c r="D414" s="5">
        <f>1.60789577</f>
        <v>1.6078957700000001</v>
      </c>
      <c r="E414" s="5">
        <f>4.30127816</f>
        <v>4.3012781599999999</v>
      </c>
      <c r="F414" s="1">
        <v>5</v>
      </c>
      <c r="G414" s="1">
        <v>3</v>
      </c>
      <c r="H414" s="5">
        <f t="shared" si="6"/>
        <v>459.95421551325393</v>
      </c>
    </row>
    <row r="415" spans="1:8" x14ac:dyDescent="0.2">
      <c r="A415" s="5">
        <f>460.29407</f>
        <v>460.29406999999998</v>
      </c>
      <c r="B415" s="3">
        <f>172000</f>
        <v>172000</v>
      </c>
      <c r="C415" s="1" t="s">
        <v>11</v>
      </c>
      <c r="D415" s="5">
        <f>1.48486439</f>
        <v>1.48486439</v>
      </c>
      <c r="E415" s="5">
        <f>4.17769679</f>
        <v>4.1776967899999997</v>
      </c>
      <c r="F415" s="1">
        <v>9</v>
      </c>
      <c r="G415" s="1">
        <v>11</v>
      </c>
      <c r="H415" s="5">
        <f t="shared" si="6"/>
        <v>460.04815757180552</v>
      </c>
    </row>
    <row r="416" spans="1:8" x14ac:dyDescent="0.2">
      <c r="A416" s="5">
        <f>460.33421</f>
        <v>460.33420999999998</v>
      </c>
      <c r="B416" s="3">
        <f>53000</f>
        <v>53000</v>
      </c>
      <c r="C416" s="1" t="s">
        <v>10</v>
      </c>
      <c r="D416" s="5">
        <f>2.84504259</f>
        <v>2.8450425899999998</v>
      </c>
      <c r="E416" s="5">
        <f>5.53763954</f>
        <v>5.5376395399999998</v>
      </c>
      <c r="F416" s="1">
        <v>3</v>
      </c>
      <c r="G416" s="1">
        <v>5</v>
      </c>
      <c r="H416" s="5">
        <f t="shared" si="6"/>
        <v>460.08838577554758</v>
      </c>
    </row>
    <row r="417" spans="1:8" x14ac:dyDescent="0.2">
      <c r="A417" s="5">
        <f>460.39486</f>
        <v>460.39485999999999</v>
      </c>
      <c r="B417" s="3">
        <f>58000</f>
        <v>58000</v>
      </c>
      <c r="C417" s="1" t="s">
        <v>10</v>
      </c>
      <c r="D417" s="5">
        <f>2.99035244</f>
        <v>2.9903524400000001</v>
      </c>
      <c r="E417" s="5">
        <f>5.68259542</f>
        <v>5.6825954200000002</v>
      </c>
      <c r="F417" s="1">
        <v>9</v>
      </c>
      <c r="G417" s="1">
        <v>9</v>
      </c>
      <c r="H417" s="5">
        <f t="shared" si="6"/>
        <v>460.14887715285749</v>
      </c>
    </row>
    <row r="418" spans="1:8" x14ac:dyDescent="0.2">
      <c r="A418" s="5">
        <f>461.11846</f>
        <v>461.11846000000003</v>
      </c>
      <c r="B418" s="3">
        <f>66400</f>
        <v>66400</v>
      </c>
      <c r="C418" s="1" t="s">
        <v>15</v>
      </c>
      <c r="D418" s="5">
        <f>2.85122419</f>
        <v>2.8512241899999999</v>
      </c>
      <c r="E418" s="5">
        <f>5.53924278</f>
        <v>5.5392427800000004</v>
      </c>
      <c r="F418" s="1">
        <v>9</v>
      </c>
      <c r="G418" s="1">
        <v>9</v>
      </c>
      <c r="H418" s="5">
        <f t="shared" si="6"/>
        <v>460.87203000692892</v>
      </c>
    </row>
    <row r="419" spans="1:8" x14ac:dyDescent="0.2">
      <c r="A419" s="5">
        <f>461.32024</f>
        <v>461.32024000000001</v>
      </c>
      <c r="B419" s="3">
        <f>2500000</f>
        <v>2500000</v>
      </c>
      <c r="C419" s="1" t="s">
        <v>12</v>
      </c>
      <c r="D419" s="5">
        <f>3.29183986</f>
        <v>3.2918398600000001</v>
      </c>
      <c r="E419" s="5">
        <f>5.9786822</f>
        <v>5.9786821999999997</v>
      </c>
      <c r="F419" s="1">
        <v>1</v>
      </c>
      <c r="G419" s="1">
        <v>3</v>
      </c>
      <c r="H419" s="5">
        <f t="shared" si="6"/>
        <v>461.07379127785481</v>
      </c>
    </row>
    <row r="420" spans="1:8" x14ac:dyDescent="0.2">
      <c r="A420" s="5">
        <f>461.42051</f>
        <v>461.42050999999998</v>
      </c>
      <c r="B420" s="3">
        <f>280000</f>
        <v>280000</v>
      </c>
      <c r="C420" s="1" t="s">
        <v>10</v>
      </c>
      <c r="D420" s="5">
        <f>3.30092244</f>
        <v>3.3009224399999999</v>
      </c>
      <c r="E420" s="5">
        <f>5.98718095</f>
        <v>5.9871809499999999</v>
      </c>
      <c r="F420" s="1">
        <v>5</v>
      </c>
      <c r="G420" s="1">
        <v>3</v>
      </c>
      <c r="H420" s="5">
        <f t="shared" si="6"/>
        <v>461.17400081113675</v>
      </c>
    </row>
    <row r="421" spans="1:8" x14ac:dyDescent="0.2">
      <c r="A421" s="5">
        <f>461.87574</f>
        <v>461.87574000000001</v>
      </c>
      <c r="B421" s="3">
        <f>136000</f>
        <v>136000</v>
      </c>
      <c r="C421" s="1" t="s">
        <v>13</v>
      </c>
      <c r="D421" s="5">
        <f>2.94879294</f>
        <v>2.9487929400000001</v>
      </c>
      <c r="E421" s="5">
        <f>5.63240401</f>
        <v>5.6324040100000001</v>
      </c>
      <c r="F421" s="1">
        <v>11</v>
      </c>
      <c r="G421" s="1">
        <v>9</v>
      </c>
      <c r="H421" s="5">
        <f t="shared" si="6"/>
        <v>461.62895887505147</v>
      </c>
    </row>
    <row r="422" spans="1:8" x14ac:dyDescent="0.2">
      <c r="A422" s="5">
        <f>461.92877</f>
        <v>461.92876999999999</v>
      </c>
      <c r="B422" s="3">
        <f>5200000</f>
        <v>5200000</v>
      </c>
      <c r="C422" s="1" t="s">
        <v>12</v>
      </c>
      <c r="D422" s="5">
        <f>3.60252504</f>
        <v>3.6025250400000002</v>
      </c>
      <c r="E422" s="5">
        <f>6.28582776</f>
        <v>6.2858277600000001</v>
      </c>
      <c r="F422" s="1">
        <v>7</v>
      </c>
      <c r="G422" s="1">
        <v>5</v>
      </c>
      <c r="H422" s="5">
        <f t="shared" si="6"/>
        <v>461.68200666887969</v>
      </c>
    </row>
    <row r="423" spans="1:8" x14ac:dyDescent="0.2">
      <c r="A423" s="5">
        <f>463.012</f>
        <v>463.012</v>
      </c>
      <c r="B423" s="3">
        <f>115000</f>
        <v>115000</v>
      </c>
      <c r="C423" s="1" t="s">
        <v>15</v>
      </c>
      <c r="D423" s="5">
        <f>2.27860466</f>
        <v>2.2786046600000001</v>
      </c>
      <c r="E423" s="5">
        <f>4.95563019</f>
        <v>4.9556301899999999</v>
      </c>
      <c r="F423" s="1">
        <v>5</v>
      </c>
      <c r="G423" s="1">
        <v>7</v>
      </c>
      <c r="H423" s="5">
        <f t="shared" si="6"/>
        <v>462.76457597685408</v>
      </c>
    </row>
    <row r="424" spans="1:8" x14ac:dyDescent="0.2">
      <c r="A424" s="5">
        <f>463.29114</f>
        <v>463.29113999999998</v>
      </c>
      <c r="B424" s="3">
        <f>75900</f>
        <v>75900</v>
      </c>
      <c r="C424" s="1" t="s">
        <v>11</v>
      </c>
      <c r="D424" s="5">
        <f>1.60789577</f>
        <v>1.6078957700000001</v>
      </c>
      <c r="E424" s="5">
        <f>4.28330826</f>
        <v>4.2833082600000001</v>
      </c>
      <c r="F424" s="1">
        <v>5</v>
      </c>
      <c r="G424" s="1">
        <v>5</v>
      </c>
      <c r="H424" s="5">
        <f t="shared" si="6"/>
        <v>463.0435825877687</v>
      </c>
    </row>
    <row r="425" spans="1:8" x14ac:dyDescent="0.2">
      <c r="A425" s="5">
        <f>463.3756</f>
        <v>463.37560000000002</v>
      </c>
      <c r="B425" s="3">
        <f>47000</f>
        <v>47000</v>
      </c>
      <c r="C425" s="1" t="s">
        <v>10</v>
      </c>
      <c r="D425" s="5">
        <f>3.01762252</f>
        <v>3.0176225200000002</v>
      </c>
      <c r="E425" s="5">
        <f>5.6925481</f>
        <v>5.6925480999999998</v>
      </c>
      <c r="F425" s="1">
        <v>7</v>
      </c>
      <c r="G425" s="1">
        <v>7</v>
      </c>
      <c r="H425" s="5">
        <f t="shared" si="6"/>
        <v>463.12786925072629</v>
      </c>
    </row>
    <row r="426" spans="1:8" x14ac:dyDescent="0.2">
      <c r="A426" s="5">
        <f>463.5617</f>
        <v>463.56169999999997</v>
      </c>
      <c r="B426" s="3">
        <f>10000</f>
        <v>10000</v>
      </c>
      <c r="C426" s="1" t="s">
        <v>10</v>
      </c>
      <c r="D426" s="5">
        <f>2.86539125</f>
        <v>2.8653912500000001</v>
      </c>
      <c r="E426" s="5">
        <f>5.53924278</f>
        <v>5.5392427800000004</v>
      </c>
      <c r="F426" s="1">
        <v>7</v>
      </c>
      <c r="G426" s="1">
        <v>9</v>
      </c>
      <c r="H426" s="5">
        <f t="shared" si="6"/>
        <v>463.31390145273429</v>
      </c>
    </row>
    <row r="427" spans="1:8" x14ac:dyDescent="0.2">
      <c r="A427" s="5">
        <f>463.58459</f>
        <v>463.58458999999999</v>
      </c>
      <c r="B427" s="3">
        <f>272000</f>
        <v>272000</v>
      </c>
      <c r="C427" s="1" t="s">
        <v>6</v>
      </c>
      <c r="D427" s="5">
        <f>2.84504259</f>
        <v>2.8450425899999998</v>
      </c>
      <c r="E427" s="5">
        <f>5.51876133</f>
        <v>5.5187613300000002</v>
      </c>
      <c r="F427" s="1">
        <v>3</v>
      </c>
      <c r="G427" s="1">
        <v>5</v>
      </c>
      <c r="H427" s="5">
        <f t="shared" si="6"/>
        <v>463.33691189584988</v>
      </c>
    </row>
    <row r="428" spans="1:8" x14ac:dyDescent="0.2">
      <c r="A428" s="5">
        <f>463.7503</f>
        <v>463.75029999999998</v>
      </c>
      <c r="B428" s="3">
        <f>2800000</f>
        <v>2800000</v>
      </c>
      <c r="C428" s="1" t="s">
        <v>12</v>
      </c>
      <c r="D428" s="5">
        <f>3.28302483</f>
        <v>3.28302483</v>
      </c>
      <c r="E428" s="5">
        <f>5.9557884</f>
        <v>5.9557884000000003</v>
      </c>
      <c r="F428" s="1">
        <v>3</v>
      </c>
      <c r="G428" s="1">
        <v>5</v>
      </c>
      <c r="H428" s="5">
        <f t="shared" si="6"/>
        <v>463.50249538520268</v>
      </c>
    </row>
    <row r="429" spans="1:8" x14ac:dyDescent="0.2">
      <c r="A429" s="5">
        <f>463.801</f>
        <v>463.80099999999999</v>
      </c>
      <c r="B429" s="3">
        <f>3370000</f>
        <v>3370000</v>
      </c>
      <c r="C429" s="1" t="s">
        <v>6</v>
      </c>
      <c r="D429" s="5">
        <f>3.60252504</f>
        <v>3.6025250400000002</v>
      </c>
      <c r="E429" s="5">
        <f>6.27499663</f>
        <v>6.2749966300000004</v>
      </c>
      <c r="F429" s="1">
        <v>7</v>
      </c>
      <c r="G429" s="1">
        <v>7</v>
      </c>
      <c r="H429" s="5">
        <f t="shared" si="6"/>
        <v>463.55313519709404</v>
      </c>
    </row>
    <row r="430" spans="1:8" x14ac:dyDescent="0.2">
      <c r="A430" s="5">
        <f>464.34631</f>
        <v>464.34631000000002</v>
      </c>
      <c r="B430" s="3">
        <f>4410000</f>
        <v>4410000</v>
      </c>
      <c r="C430" s="1" t="s">
        <v>13</v>
      </c>
      <c r="D430" s="5">
        <f>3.65369332</f>
        <v>3.6536933199999999</v>
      </c>
      <c r="E430" s="5">
        <f>6.32302612</f>
        <v>6.3230261199999998</v>
      </c>
      <c r="F430" s="1">
        <v>5</v>
      </c>
      <c r="G430" s="1">
        <v>5</v>
      </c>
      <c r="H430" s="5">
        <f t="shared" si="6"/>
        <v>464.09821370705936</v>
      </c>
    </row>
    <row r="431" spans="1:8" x14ac:dyDescent="0.2">
      <c r="A431" s="5">
        <f>464.74339</f>
        <v>464.74338999999998</v>
      </c>
      <c r="B431" s="3">
        <f>1250000</f>
        <v>1250000</v>
      </c>
      <c r="C431" s="1" t="s">
        <v>13</v>
      </c>
      <c r="D431" s="5">
        <f>2.94879294</f>
        <v>2.9487929400000001</v>
      </c>
      <c r="E431" s="5">
        <f>5.61584517</f>
        <v>5.6158451700000001</v>
      </c>
      <c r="F431" s="1">
        <v>11</v>
      </c>
      <c r="G431" s="1">
        <v>11</v>
      </c>
      <c r="H431" s="5">
        <f t="shared" si="6"/>
        <v>464.49505950232663</v>
      </c>
    </row>
    <row r="432" spans="1:8" x14ac:dyDescent="0.2">
      <c r="A432" s="5">
        <f>464.98162</f>
        <v>464.98162000000002</v>
      </c>
      <c r="B432" s="3">
        <f>64000</f>
        <v>64000</v>
      </c>
      <c r="C432" s="1" t="s">
        <v>10</v>
      </c>
      <c r="D432" s="5">
        <f>3.23672008</f>
        <v>3.23672008</v>
      </c>
      <c r="E432" s="5">
        <f>5.90240588</f>
        <v>5.9024058799999999</v>
      </c>
      <c r="F432" s="1">
        <v>13</v>
      </c>
      <c r="G432" s="1">
        <v>11</v>
      </c>
      <c r="H432" s="5">
        <f t="shared" si="6"/>
        <v>464.73315957554451</v>
      </c>
    </row>
    <row r="433" spans="1:8" x14ac:dyDescent="0.2">
      <c r="A433" s="5">
        <f>465.4498</f>
        <v>465.44979999999998</v>
      </c>
      <c r="B433" s="3">
        <f>56400</f>
        <v>56400</v>
      </c>
      <c r="C433" s="1" t="s">
        <v>11</v>
      </c>
      <c r="D433" s="5">
        <f>1.55735733</f>
        <v>1.5573573300000001</v>
      </c>
      <c r="E433" s="5">
        <f>4.22036211</f>
        <v>4.2203621099999999</v>
      </c>
      <c r="F433" s="1">
        <v>7</v>
      </c>
      <c r="G433" s="1">
        <v>9</v>
      </c>
      <c r="H433" s="5">
        <f t="shared" si="6"/>
        <v>465.20103665366429</v>
      </c>
    </row>
    <row r="434" spans="1:8" x14ac:dyDescent="0.2">
      <c r="A434" s="5">
        <f>465.4605</f>
        <v>465.46050000000002</v>
      </c>
      <c r="B434" s="3">
        <f>3680000</f>
        <v>3680000</v>
      </c>
      <c r="C434" s="1" t="s">
        <v>13</v>
      </c>
      <c r="D434" s="5">
        <f>3.60252504</f>
        <v>3.6025250400000002</v>
      </c>
      <c r="E434" s="5">
        <f>6.26546671</f>
        <v>6.2654667100000001</v>
      </c>
      <c r="F434" s="1">
        <v>7</v>
      </c>
      <c r="G434" s="1">
        <v>7</v>
      </c>
      <c r="H434" s="5">
        <f t="shared" si="6"/>
        <v>465.21206161818139</v>
      </c>
    </row>
    <row r="435" spans="1:8" x14ac:dyDescent="0.2">
      <c r="A435" s="5">
        <f>465.75845</f>
        <v>465.75844999999998</v>
      </c>
      <c r="B435" s="3">
        <f>150000</f>
        <v>150000</v>
      </c>
      <c r="C435" s="1" t="s">
        <v>12</v>
      </c>
      <c r="D435" s="5">
        <f>2.84504259</f>
        <v>2.8450425899999998</v>
      </c>
      <c r="E435" s="5">
        <f>5.50628207</f>
        <v>5.5062820700000001</v>
      </c>
      <c r="F435" s="1">
        <v>3</v>
      </c>
      <c r="G435" s="1">
        <v>3</v>
      </c>
      <c r="H435" s="5">
        <f t="shared" si="6"/>
        <v>465.50962195618064</v>
      </c>
    </row>
    <row r="436" spans="1:8" x14ac:dyDescent="0.2">
      <c r="A436" s="5">
        <f>465.82944</f>
        <v>465.82943999999998</v>
      </c>
      <c r="B436" s="3">
        <f>35000</f>
        <v>35000</v>
      </c>
      <c r="C436" s="1" t="s">
        <v>10</v>
      </c>
      <c r="D436" s="5">
        <f>3.26711257</f>
        <v>3.2671125700000001</v>
      </c>
      <c r="E436" s="5">
        <f>5.92794713</f>
        <v>5.9279471299999997</v>
      </c>
      <c r="F436" s="1">
        <v>11</v>
      </c>
      <c r="G436" s="1">
        <v>9</v>
      </c>
      <c r="H436" s="5">
        <f t="shared" si="6"/>
        <v>465.58046219516302</v>
      </c>
    </row>
    <row r="437" spans="1:8" x14ac:dyDescent="0.2">
      <c r="A437" s="5">
        <f>466.15341</f>
        <v>466.15341000000001</v>
      </c>
      <c r="B437" s="3">
        <f>3300000</f>
        <v>3300000</v>
      </c>
      <c r="C437" s="1" t="s">
        <v>10</v>
      </c>
      <c r="D437" s="5">
        <f>4.55852281</f>
        <v>4.5585228100000004</v>
      </c>
      <c r="E437" s="5">
        <f>7.21750752</f>
        <v>7.2175075199999998</v>
      </c>
      <c r="F437" s="1">
        <v>7</v>
      </c>
      <c r="G437" s="1">
        <v>5</v>
      </c>
      <c r="H437" s="5">
        <f t="shared" si="6"/>
        <v>465.90436553118167</v>
      </c>
    </row>
    <row r="438" spans="1:8" x14ac:dyDescent="0.2">
      <c r="A438" s="5">
        <f>466.19699</f>
        <v>466.19699000000003</v>
      </c>
      <c r="B438" s="3">
        <f>138000</f>
        <v>138000</v>
      </c>
      <c r="C438" s="1" t="s">
        <v>13</v>
      </c>
      <c r="D438" s="5">
        <f>2.99035244</f>
        <v>2.9903524400000001</v>
      </c>
      <c r="E438" s="5">
        <f>5.64908881</f>
        <v>5.6490888100000003</v>
      </c>
      <c r="F438" s="1">
        <v>9</v>
      </c>
      <c r="G438" s="1">
        <v>7</v>
      </c>
      <c r="H438" s="5">
        <f t="shared" si="6"/>
        <v>465.94788345625369</v>
      </c>
    </row>
    <row r="439" spans="1:8" x14ac:dyDescent="0.2">
      <c r="A439" s="5">
        <f>466.31779</f>
        <v>466.31779</v>
      </c>
      <c r="B439" s="3">
        <f>430000</f>
        <v>430000</v>
      </c>
      <c r="C439" s="1" t="s">
        <v>10</v>
      </c>
      <c r="D439" s="5">
        <f>3.54652001</f>
        <v>3.5465200100000001</v>
      </c>
      <c r="E439" s="5">
        <f>6.20456765</f>
        <v>6.2045676500000004</v>
      </c>
      <c r="F439" s="1">
        <v>5</v>
      </c>
      <c r="G439" s="1">
        <v>3</v>
      </c>
      <c r="H439" s="5">
        <f t="shared" si="6"/>
        <v>466.06861578660897</v>
      </c>
    </row>
    <row r="440" spans="1:8" x14ac:dyDescent="0.2">
      <c r="A440" s="5">
        <f>466.74528</f>
        <v>466.74527999999998</v>
      </c>
      <c r="B440" s="3">
        <f>6030000</f>
        <v>6030000</v>
      </c>
      <c r="C440" s="1" t="s">
        <v>13</v>
      </c>
      <c r="D440" s="5">
        <f>3.60252504</f>
        <v>3.6025250400000002</v>
      </c>
      <c r="E440" s="5">
        <f>6.25813812</f>
        <v>6.2581381199999999</v>
      </c>
      <c r="F440" s="1">
        <v>7</v>
      </c>
      <c r="G440" s="1">
        <v>9</v>
      </c>
      <c r="H440" s="5">
        <f t="shared" si="6"/>
        <v>466.49588887763088</v>
      </c>
    </row>
    <row r="441" spans="1:8" x14ac:dyDescent="0.2">
      <c r="A441" s="5">
        <f>466.91708</f>
        <v>466.91708</v>
      </c>
      <c r="B441" s="3">
        <f>6270000</f>
        <v>6270000</v>
      </c>
      <c r="C441" s="1" t="s">
        <v>6</v>
      </c>
      <c r="D441" s="5">
        <f>3.65369332</f>
        <v>3.6536933199999999</v>
      </c>
      <c r="E441" s="5">
        <f>6.30832866</f>
        <v>6.3083286599999999</v>
      </c>
      <c r="F441" s="1">
        <v>5</v>
      </c>
      <c r="G441" s="1">
        <v>3</v>
      </c>
      <c r="H441" s="5">
        <f t="shared" si="6"/>
        <v>466.66770595680492</v>
      </c>
    </row>
    <row r="442" spans="1:8" x14ac:dyDescent="0.2">
      <c r="A442" s="5">
        <f>467.31633</f>
        <v>467.31632999999999</v>
      </c>
      <c r="B442" s="3">
        <f>3810000</f>
        <v>3810000</v>
      </c>
      <c r="C442" s="1" t="s">
        <v>15</v>
      </c>
      <c r="D442" s="5">
        <f>3.65369332</f>
        <v>3.6536933199999999</v>
      </c>
      <c r="E442" s="5">
        <f>6.30606149</f>
        <v>6.3060614900000003</v>
      </c>
      <c r="F442" s="1">
        <v>5</v>
      </c>
      <c r="G442" s="1">
        <v>7</v>
      </c>
      <c r="H442" s="5">
        <f t="shared" si="6"/>
        <v>467.06660043717187</v>
      </c>
    </row>
    <row r="443" spans="1:8" x14ac:dyDescent="0.2">
      <c r="A443" s="5">
        <f>467.46474</f>
        <v>467.46474000000001</v>
      </c>
      <c r="B443" s="3">
        <f>1200</f>
        <v>1200</v>
      </c>
      <c r="C443" s="1" t="s">
        <v>10</v>
      </c>
      <c r="D443" s="5">
        <f>1.55735733</f>
        <v>1.5573573300000001</v>
      </c>
      <c r="E443" s="5">
        <f>4.20888328</f>
        <v>4.2088832800000002</v>
      </c>
      <c r="F443" s="1">
        <v>7</v>
      </c>
      <c r="G443" s="1">
        <v>5</v>
      </c>
      <c r="H443" s="5">
        <f t="shared" si="6"/>
        <v>467.21495758684279</v>
      </c>
    </row>
    <row r="444" spans="1:8" x14ac:dyDescent="0.2">
      <c r="A444" s="5">
        <f>467.88455</f>
        <v>467.88454999999999</v>
      </c>
      <c r="B444" s="3">
        <f>4970000</f>
        <v>4970000</v>
      </c>
      <c r="C444" s="1" t="s">
        <v>13</v>
      </c>
      <c r="D444" s="5">
        <f>3.60252504</f>
        <v>3.6025250400000002</v>
      </c>
      <c r="E444" s="5">
        <f>6.25167222</f>
        <v>6.2516722199999997</v>
      </c>
      <c r="F444" s="1">
        <v>7</v>
      </c>
      <c r="G444" s="1">
        <v>9</v>
      </c>
      <c r="H444" s="5">
        <f t="shared" si="6"/>
        <v>467.63448766544678</v>
      </c>
    </row>
    <row r="445" spans="1:8" x14ac:dyDescent="0.2">
      <c r="A445" s="5">
        <f>467.9224</f>
        <v>467.92239999999998</v>
      </c>
      <c r="B445" s="3">
        <f>129000</f>
        <v>129000</v>
      </c>
      <c r="C445" s="1" t="s">
        <v>6</v>
      </c>
      <c r="D445" s="5">
        <f>3.25148176</f>
        <v>3.2514817599999999</v>
      </c>
      <c r="E445" s="5">
        <f>5.90041395</f>
        <v>5.9004139499999999</v>
      </c>
      <c r="F445" s="1">
        <v>7</v>
      </c>
      <c r="G445" s="1">
        <v>9</v>
      </c>
      <c r="H445" s="5">
        <f t="shared" si="6"/>
        <v>467.67244135066477</v>
      </c>
    </row>
    <row r="446" spans="1:8" x14ac:dyDescent="0.2">
      <c r="A446" s="5">
        <f>468.02945</f>
        <v>468.02945</v>
      </c>
      <c r="B446" s="3">
        <f>7320</f>
        <v>7320</v>
      </c>
      <c r="C446" s="1" t="s">
        <v>11</v>
      </c>
      <c r="D446" s="5">
        <f>1.60789577</f>
        <v>1.6078957700000001</v>
      </c>
      <c r="E446" s="5">
        <f>4.2562228</f>
        <v>4.2562227999999998</v>
      </c>
      <c r="F446" s="1">
        <v>5</v>
      </c>
      <c r="G446" s="1">
        <v>7</v>
      </c>
      <c r="H446" s="5">
        <f t="shared" si="6"/>
        <v>467.77930755389491</v>
      </c>
    </row>
    <row r="447" spans="1:8" x14ac:dyDescent="0.2">
      <c r="A447" s="5">
        <f>468.04669</f>
        <v>468.04669000000001</v>
      </c>
      <c r="B447" s="3">
        <f>190000</f>
        <v>190000</v>
      </c>
      <c r="C447" s="1" t="s">
        <v>12</v>
      </c>
      <c r="D447" s="5">
        <f>2.85805275</f>
        <v>2.8580527500000001</v>
      </c>
      <c r="E447" s="5">
        <f>5.50628207</f>
        <v>5.5062820700000001</v>
      </c>
      <c r="F447" s="1">
        <v>1</v>
      </c>
      <c r="G447" s="1">
        <v>3</v>
      </c>
      <c r="H447" s="5">
        <f t="shared" si="6"/>
        <v>467.79656690367847</v>
      </c>
    </row>
    <row r="448" spans="1:8" x14ac:dyDescent="0.2">
      <c r="A448" s="5">
        <f>468.25601</f>
        <v>468.25601</v>
      </c>
      <c r="B448" s="3">
        <f>37000</f>
        <v>37000</v>
      </c>
      <c r="C448" s="1" t="s">
        <v>10</v>
      </c>
      <c r="D448" s="5">
        <f>2.93984587</f>
        <v>2.9398458700000001</v>
      </c>
      <c r="E448" s="5">
        <f>5.58689276</f>
        <v>5.5868927599999996</v>
      </c>
      <c r="F448" s="1">
        <v>9</v>
      </c>
      <c r="G448" s="1">
        <v>7</v>
      </c>
      <c r="H448" s="5">
        <f t="shared" si="6"/>
        <v>468.00553059702816</v>
      </c>
    </row>
    <row r="449" spans="1:8" x14ac:dyDescent="0.2">
      <c r="A449" s="5">
        <f>468.35594</f>
        <v>468.35593999999998</v>
      </c>
      <c r="B449" s="3">
        <f>292000</f>
        <v>292000</v>
      </c>
      <c r="C449" s="1" t="s">
        <v>5</v>
      </c>
      <c r="D449" s="5">
        <f>2.83159117</f>
        <v>2.8315911699999998</v>
      </c>
      <c r="E449" s="5">
        <f>5.4780717</f>
        <v>5.4780717000000001</v>
      </c>
      <c r="F449" s="1">
        <v>5</v>
      </c>
      <c r="G449" s="1">
        <v>5</v>
      </c>
      <c r="H449" s="5">
        <f t="shared" si="6"/>
        <v>468.10568610896325</v>
      </c>
    </row>
    <row r="450" spans="1:8" x14ac:dyDescent="0.2">
      <c r="A450" s="5">
        <f>468.50243</f>
        <v>468.50243</v>
      </c>
      <c r="B450" s="3">
        <f>32000</f>
        <v>32000</v>
      </c>
      <c r="C450" s="1" t="s">
        <v>10</v>
      </c>
      <c r="D450" s="5">
        <f>2.84504259</f>
        <v>2.8450425899999998</v>
      </c>
      <c r="E450" s="5">
        <f>5.49069652</f>
        <v>5.4906965200000002</v>
      </c>
      <c r="F450" s="1">
        <v>3</v>
      </c>
      <c r="G450" s="1">
        <v>5</v>
      </c>
      <c r="H450" s="5">
        <f t="shared" si="6"/>
        <v>468.25193961390966</v>
      </c>
    </row>
    <row r="451" spans="1:8" x14ac:dyDescent="0.2">
      <c r="A451" s="5">
        <f>468.73862</f>
        <v>468.73862000000003</v>
      </c>
      <c r="B451" s="3">
        <f>75000</f>
        <v>75000</v>
      </c>
      <c r="C451" s="1" t="s">
        <v>5</v>
      </c>
      <c r="D451" s="5">
        <f>2.83159117</f>
        <v>2.8315911699999998</v>
      </c>
      <c r="E451" s="5">
        <f>5.47591165</f>
        <v>5.4759116499999996</v>
      </c>
      <c r="F451" s="1">
        <v>5</v>
      </c>
      <c r="G451" s="1">
        <v>7</v>
      </c>
      <c r="H451" s="5">
        <f t="shared" ref="H451:H514" si="7">$J$2*$J$1/((E451-D451)*$J$3)*1000000000</f>
        <v>468.48806475592664</v>
      </c>
    </row>
    <row r="452" spans="1:8" x14ac:dyDescent="0.2">
      <c r="A452" s="5">
        <f>469.0138</f>
        <v>469.0138</v>
      </c>
      <c r="B452" s="3">
        <f>2290000</f>
        <v>2290000</v>
      </c>
      <c r="C452" s="1" t="s">
        <v>6</v>
      </c>
      <c r="D452" s="5">
        <f>3.68638944</f>
        <v>3.6863894400000001</v>
      </c>
      <c r="E452" s="5">
        <f>6.32915863</f>
        <v>6.3291586300000002</v>
      </c>
      <c r="F452" s="1">
        <v>3</v>
      </c>
      <c r="G452" s="1">
        <v>3</v>
      </c>
      <c r="H452" s="5">
        <f t="shared" si="7"/>
        <v>468.76306449965193</v>
      </c>
    </row>
    <row r="453" spans="1:8" x14ac:dyDescent="0.2">
      <c r="A453" s="5">
        <f>469.14114</f>
        <v>469.14114000000001</v>
      </c>
      <c r="B453" s="3">
        <f>1010000</f>
        <v>1010000</v>
      </c>
      <c r="C453" s="1" t="s">
        <v>14</v>
      </c>
      <c r="D453" s="5">
        <f>2.99035244</f>
        <v>2.9903524400000001</v>
      </c>
      <c r="E453" s="5">
        <f>5.63240401</f>
        <v>5.6324040100000001</v>
      </c>
      <c r="F453" s="1">
        <v>9</v>
      </c>
      <c r="G453" s="1">
        <v>9</v>
      </c>
      <c r="H453" s="5">
        <f t="shared" si="7"/>
        <v>468.89038743087934</v>
      </c>
    </row>
    <row r="454" spans="1:8" x14ac:dyDescent="0.2">
      <c r="A454" s="5">
        <f>470.1044</f>
        <v>470.1044</v>
      </c>
      <c r="B454" s="3">
        <f>840000</f>
        <v>840000</v>
      </c>
      <c r="C454" s="1" t="s">
        <v>15</v>
      </c>
      <c r="D454" s="5">
        <f>2.46883473</f>
        <v>2.4688347300000002</v>
      </c>
      <c r="E454" s="5">
        <f>5.1054724</f>
        <v>5.1054724</v>
      </c>
      <c r="F454" s="1">
        <v>5</v>
      </c>
      <c r="G454" s="1">
        <v>3</v>
      </c>
      <c r="H454" s="5">
        <f t="shared" si="7"/>
        <v>469.85317640161873</v>
      </c>
    </row>
    <row r="455" spans="1:8" x14ac:dyDescent="0.2">
      <c r="A455" s="5">
        <f>470.1044</f>
        <v>470.1044</v>
      </c>
      <c r="B455" s="3">
        <f>720000</f>
        <v>720000</v>
      </c>
      <c r="C455" s="1" t="s">
        <v>10</v>
      </c>
      <c r="D455" s="5">
        <f>3.68638944</f>
        <v>3.6863894400000001</v>
      </c>
      <c r="E455" s="5">
        <f>6.32302612</f>
        <v>6.3230261199999998</v>
      </c>
      <c r="F455" s="1">
        <v>3</v>
      </c>
      <c r="G455" s="1">
        <v>5</v>
      </c>
      <c r="H455" s="5">
        <f t="shared" si="7"/>
        <v>469.85335282131598</v>
      </c>
    </row>
    <row r="456" spans="1:8" x14ac:dyDescent="0.2">
      <c r="A456" s="5">
        <f>470.49478</f>
        <v>470.49477999999999</v>
      </c>
      <c r="B456" s="3">
        <f>8800000</f>
        <v>8800000</v>
      </c>
      <c r="C456" s="1" t="s">
        <v>12</v>
      </c>
      <c r="D456" s="5">
        <f>3.68638944</f>
        <v>3.6863894400000001</v>
      </c>
      <c r="E456" s="5">
        <f>6.32083991</f>
        <v>6.3208399100000001</v>
      </c>
      <c r="F456" s="1">
        <v>3</v>
      </c>
      <c r="G456" s="1">
        <v>1</v>
      </c>
      <c r="H456" s="5">
        <f t="shared" si="7"/>
        <v>470.2432626374877</v>
      </c>
    </row>
    <row r="457" spans="1:8" x14ac:dyDescent="0.2">
      <c r="A457" s="5">
        <f>470.54567</f>
        <v>470.54566999999997</v>
      </c>
      <c r="B457" s="3">
        <f>230000</f>
        <v>230000</v>
      </c>
      <c r="C457" s="1" t="s">
        <v>10</v>
      </c>
      <c r="D457" s="5">
        <f>3.54652001</f>
        <v>3.5465200100000001</v>
      </c>
      <c r="E457" s="5">
        <f>6.18068544</f>
        <v>6.1806854400000004</v>
      </c>
      <c r="F457" s="1">
        <v>5</v>
      </c>
      <c r="G457" s="1">
        <v>7</v>
      </c>
      <c r="H457" s="5">
        <f t="shared" si="7"/>
        <v>470.29414711803531</v>
      </c>
    </row>
    <row r="458" spans="1:8" x14ac:dyDescent="0.2">
      <c r="A458" s="5">
        <f>470.74874</f>
        <v>470.74874</v>
      </c>
      <c r="B458" s="3">
        <f>292000</f>
        <v>292000</v>
      </c>
      <c r="C458" s="1" t="s">
        <v>5</v>
      </c>
      <c r="D458" s="5">
        <f>2.84504259</f>
        <v>2.8450425899999998</v>
      </c>
      <c r="E458" s="5">
        <f>5.4780717</f>
        <v>5.4780717000000001</v>
      </c>
      <c r="F458" s="1">
        <v>3</v>
      </c>
      <c r="G458" s="1">
        <v>5</v>
      </c>
      <c r="H458" s="5">
        <f t="shared" si="7"/>
        <v>470.4971090386702</v>
      </c>
    </row>
    <row r="459" spans="1:8" x14ac:dyDescent="0.2">
      <c r="A459" s="5">
        <f>470.89682</f>
        <v>470.89681999999999</v>
      </c>
      <c r="B459" s="3">
        <f>398000</f>
        <v>398000</v>
      </c>
      <c r="C459" s="1" t="s">
        <v>5</v>
      </c>
      <c r="D459" s="5">
        <f>3.63977237</f>
        <v>3.6397723700000002</v>
      </c>
      <c r="E459" s="5">
        <f>6.27197352</f>
        <v>6.2719735200000004</v>
      </c>
      <c r="F459" s="1">
        <v>5</v>
      </c>
      <c r="G459" s="1">
        <v>7</v>
      </c>
      <c r="H459" s="5">
        <f t="shared" si="7"/>
        <v>470.6451041059924</v>
      </c>
    </row>
    <row r="460" spans="1:8" x14ac:dyDescent="0.2">
      <c r="A460" s="5">
        <f>471.0283</f>
        <v>471.0283</v>
      </c>
      <c r="B460" s="3">
        <f>1050000</f>
        <v>1050000</v>
      </c>
      <c r="C460" s="1" t="s">
        <v>14</v>
      </c>
      <c r="D460" s="5">
        <f>3.01762252</f>
        <v>3.0176225200000002</v>
      </c>
      <c r="E460" s="5">
        <f>5.64908881</f>
        <v>5.6490888100000003</v>
      </c>
      <c r="F460" s="1">
        <v>7</v>
      </c>
      <c r="G460" s="1">
        <v>7</v>
      </c>
      <c r="H460" s="5">
        <f t="shared" si="7"/>
        <v>470.77653587181726</v>
      </c>
    </row>
    <row r="461" spans="1:8" x14ac:dyDescent="0.2">
      <c r="A461" s="5">
        <f>471.21053</f>
        <v>471.21053000000001</v>
      </c>
      <c r="B461" s="3">
        <f>85000</f>
        <v>85000</v>
      </c>
      <c r="C461" s="1" t="s">
        <v>10</v>
      </c>
      <c r="D461" s="5">
        <f>3.01725044</f>
        <v>3.0172504400000002</v>
      </c>
      <c r="E461" s="5">
        <f>5.64769932</f>
        <v>5.6476993200000001</v>
      </c>
      <c r="F461" s="1">
        <v>5</v>
      </c>
      <c r="G461" s="1">
        <v>3</v>
      </c>
      <c r="H461" s="5">
        <f t="shared" si="7"/>
        <v>470.95862371203464</v>
      </c>
    </row>
    <row r="462" spans="1:8" x14ac:dyDescent="0.2">
      <c r="A462" s="5">
        <f>471.407</f>
        <v>471.40699999999998</v>
      </c>
      <c r="B462" s="3">
        <f>1800000</f>
        <v>1800000</v>
      </c>
      <c r="C462" s="1" t="s">
        <v>10</v>
      </c>
      <c r="D462" s="5">
        <f>4.55852281</f>
        <v>4.5585228100000004</v>
      </c>
      <c r="E462" s="5">
        <f>7.1878769</f>
        <v>7.1878769</v>
      </c>
      <c r="F462" s="1">
        <v>7</v>
      </c>
      <c r="G462" s="1">
        <v>5</v>
      </c>
      <c r="H462" s="5">
        <f t="shared" si="7"/>
        <v>471.154717799786</v>
      </c>
    </row>
    <row r="463" spans="1:8" x14ac:dyDescent="0.2">
      <c r="A463" s="5">
        <f>471.4118</f>
        <v>471.41180000000003</v>
      </c>
      <c r="B463" s="3">
        <f>65000</f>
        <v>65000</v>
      </c>
      <c r="C463" s="1" t="s">
        <v>10</v>
      </c>
      <c r="D463" s="5">
        <f>3.30140276</f>
        <v>3.3014027600000002</v>
      </c>
      <c r="E463" s="5">
        <f>5.93072834</f>
        <v>5.9307283399999999</v>
      </c>
      <c r="F463" s="1">
        <v>9</v>
      </c>
      <c r="G463" s="1">
        <v>11</v>
      </c>
      <c r="H463" s="5">
        <f t="shared" si="7"/>
        <v>471.15982657030366</v>
      </c>
    </row>
    <row r="464" spans="1:8" x14ac:dyDescent="0.2">
      <c r="A464" s="5">
        <f>472.10003</f>
        <v>472.10003</v>
      </c>
      <c r="B464" s="3">
        <f>43000</f>
        <v>43000</v>
      </c>
      <c r="C464" s="1" t="s">
        <v>6</v>
      </c>
      <c r="D464" s="5">
        <f>2.99035244</f>
        <v>2.9903524400000001</v>
      </c>
      <c r="E464" s="5">
        <f>5.61584517</f>
        <v>5.6158451700000001</v>
      </c>
      <c r="F464" s="1">
        <v>9</v>
      </c>
      <c r="G464" s="1">
        <v>11</v>
      </c>
      <c r="H464" s="5">
        <f t="shared" si="7"/>
        <v>471.84765362868211</v>
      </c>
    </row>
    <row r="465" spans="1:8" x14ac:dyDescent="0.2">
      <c r="A465" s="5">
        <f>472.61367</f>
        <v>472.61367000000001</v>
      </c>
      <c r="B465" s="3">
        <f>39000</f>
        <v>39000</v>
      </c>
      <c r="C465" s="1" t="s">
        <v>10</v>
      </c>
      <c r="D465" s="5">
        <f>2.99804479</f>
        <v>2.9980447899999998</v>
      </c>
      <c r="E465" s="5">
        <f>5.62068415</f>
        <v>5.6206841499999998</v>
      </c>
      <c r="F465" s="1">
        <v>7</v>
      </c>
      <c r="G465" s="1">
        <v>5</v>
      </c>
      <c r="H465" s="5">
        <f t="shared" si="7"/>
        <v>472.36101278891158</v>
      </c>
    </row>
    <row r="466" spans="1:8" x14ac:dyDescent="0.2">
      <c r="A466" s="5">
        <f>472.73943</f>
        <v>472.73943000000003</v>
      </c>
      <c r="B466" s="3">
        <f>6850000</f>
        <v>6850000</v>
      </c>
      <c r="C466" s="1" t="s">
        <v>6</v>
      </c>
      <c r="D466" s="5">
        <f>3.68638944</f>
        <v>3.6863894400000001</v>
      </c>
      <c r="E466" s="5">
        <f>6.30832866</f>
        <v>6.3083286599999999</v>
      </c>
      <c r="F466" s="1">
        <v>3</v>
      </c>
      <c r="G466" s="1">
        <v>3</v>
      </c>
      <c r="H466" s="5">
        <f t="shared" si="7"/>
        <v>472.48714799333266</v>
      </c>
    </row>
    <row r="467" spans="1:8" x14ac:dyDescent="0.2">
      <c r="A467" s="5">
        <f>472.85454</f>
        <v>472.85453999999999</v>
      </c>
      <c r="B467" s="3">
        <f>2870000</f>
        <v>2870000</v>
      </c>
      <c r="C467" s="1" t="s">
        <v>5</v>
      </c>
      <c r="D467" s="5">
        <f>3.65369332</f>
        <v>3.6536933199999999</v>
      </c>
      <c r="E467" s="5">
        <f>6.27499663</f>
        <v>6.2749966300000004</v>
      </c>
      <c r="F467" s="1">
        <v>5</v>
      </c>
      <c r="G467" s="1">
        <v>7</v>
      </c>
      <c r="H467" s="5">
        <f t="shared" si="7"/>
        <v>472.60177009796803</v>
      </c>
    </row>
    <row r="468" spans="1:8" x14ac:dyDescent="0.2">
      <c r="A468" s="5">
        <f>472.90189</f>
        <v>472.90188999999998</v>
      </c>
      <c r="B468" s="3">
        <f>659000</f>
        <v>659000</v>
      </c>
      <c r="C468" s="1" t="s">
        <v>6</v>
      </c>
      <c r="D468" s="5">
        <f>4.07581091</f>
        <v>4.0758109100000004</v>
      </c>
      <c r="E468" s="5">
        <f>6.69685175</f>
        <v>6.6968517500000004</v>
      </c>
      <c r="F468" s="1">
        <v>9</v>
      </c>
      <c r="G468" s="1">
        <v>11</v>
      </c>
      <c r="H468" s="5">
        <f t="shared" si="7"/>
        <v>472.64909625355659</v>
      </c>
    </row>
    <row r="469" spans="1:8" x14ac:dyDescent="0.2">
      <c r="A469" s="5">
        <f>472.96763</f>
        <v>472.96762999999999</v>
      </c>
      <c r="B469" s="3">
        <f>160000</f>
        <v>160000</v>
      </c>
      <c r="C469" s="1" t="s">
        <v>10</v>
      </c>
      <c r="D469" s="5">
        <f>3.3965088</f>
        <v>3.3965087999999999</v>
      </c>
      <c r="E469" s="5">
        <f>6.01718438</f>
        <v>6.0171843799999998</v>
      </c>
      <c r="F469" s="1">
        <v>7</v>
      </c>
      <c r="G469" s="1">
        <v>7</v>
      </c>
      <c r="H469" s="5">
        <f t="shared" si="7"/>
        <v>472.71497232391619</v>
      </c>
    </row>
    <row r="470" spans="1:8" x14ac:dyDescent="0.2">
      <c r="A470" s="5">
        <f>473.35913</f>
        <v>473.35912999999999</v>
      </c>
      <c r="B470" s="3">
        <f>34100</f>
        <v>34100</v>
      </c>
      <c r="C470" s="1" t="s">
        <v>11</v>
      </c>
      <c r="D470" s="5">
        <f>1.48486439</f>
        <v>1.48486439</v>
      </c>
      <c r="E470" s="5">
        <f>4.10337372</f>
        <v>4.1033737199999996</v>
      </c>
      <c r="F470" s="1">
        <v>9</v>
      </c>
      <c r="G470" s="1">
        <v>9</v>
      </c>
      <c r="H470" s="5">
        <f t="shared" si="7"/>
        <v>473.10604169955866</v>
      </c>
    </row>
    <row r="471" spans="1:8" x14ac:dyDescent="0.2">
      <c r="A471" s="5">
        <f>473.40977</f>
        <v>473.40976999999998</v>
      </c>
      <c r="B471" s="3">
        <f>1600000</f>
        <v>1600000</v>
      </c>
      <c r="C471" s="1" t="s">
        <v>10</v>
      </c>
      <c r="D471" s="5">
        <f>4.29441489</f>
        <v>4.2944148899999997</v>
      </c>
      <c r="E471" s="5">
        <f>6.9126439</f>
        <v>6.9126439</v>
      </c>
      <c r="F471" s="1">
        <v>5</v>
      </c>
      <c r="G471" s="1">
        <v>5</v>
      </c>
      <c r="H471" s="5">
        <f t="shared" si="7"/>
        <v>473.15669467342082</v>
      </c>
    </row>
    <row r="472" spans="1:8" x14ac:dyDescent="0.2">
      <c r="A472" s="5">
        <f>473.58436</f>
        <v>473.58436</v>
      </c>
      <c r="B472" s="3">
        <f>1280000</f>
        <v>1280000</v>
      </c>
      <c r="C472" s="1" t="s">
        <v>15</v>
      </c>
      <c r="D472" s="5">
        <f>4.07581091</f>
        <v>4.0758109100000004</v>
      </c>
      <c r="E472" s="5">
        <f>6.6930753</f>
        <v>6.6930753000000003</v>
      </c>
      <c r="F472" s="1">
        <v>9</v>
      </c>
      <c r="G472" s="1">
        <v>11</v>
      </c>
      <c r="H472" s="5">
        <f t="shared" si="7"/>
        <v>473.33108149217702</v>
      </c>
    </row>
    <row r="473" spans="1:8" x14ac:dyDescent="0.2">
      <c r="A473" s="5">
        <f>473.67731</f>
        <v>473.67730999999998</v>
      </c>
      <c r="B473" s="3">
        <f>4780000</f>
        <v>4780000</v>
      </c>
      <c r="C473" s="1" t="s">
        <v>13</v>
      </c>
      <c r="D473" s="5">
        <f>3.21118938</f>
        <v>3.21118938</v>
      </c>
      <c r="E473" s="5">
        <f>5.82793998</f>
        <v>5.82793998</v>
      </c>
      <c r="F473" s="1">
        <v>9</v>
      </c>
      <c r="G473" s="1">
        <v>11</v>
      </c>
      <c r="H473" s="5">
        <f t="shared" si="7"/>
        <v>473.42401842562407</v>
      </c>
    </row>
    <row r="474" spans="1:8" x14ac:dyDescent="0.2">
      <c r="A474" s="5">
        <f>473.7635</f>
        <v>473.76350000000002</v>
      </c>
      <c r="B474" s="3">
        <f>187000</f>
        <v>187000</v>
      </c>
      <c r="C474" s="1" t="s">
        <v>6</v>
      </c>
      <c r="D474" s="5">
        <f>3.26711257</f>
        <v>3.2671125700000001</v>
      </c>
      <c r="E474" s="5">
        <f>5.88338708</f>
        <v>5.8833870800000003</v>
      </c>
      <c r="F474" s="1">
        <v>11</v>
      </c>
      <c r="G474" s="1">
        <v>9</v>
      </c>
      <c r="H474" s="5">
        <f t="shared" si="7"/>
        <v>473.51016857541561</v>
      </c>
    </row>
    <row r="475" spans="1:8" x14ac:dyDescent="0.2">
      <c r="A475" s="5">
        <f>474.03398</f>
        <v>474.03397999999999</v>
      </c>
      <c r="B475" s="3">
        <f>76900</f>
        <v>76900</v>
      </c>
      <c r="C475" s="1" t="s">
        <v>6</v>
      </c>
      <c r="D475" s="5">
        <f>3.01762252</f>
        <v>3.0176225200000002</v>
      </c>
      <c r="E475" s="5">
        <f>5.63240401</f>
        <v>5.6324040100000001</v>
      </c>
      <c r="F475" s="1">
        <v>7</v>
      </c>
      <c r="G475" s="1">
        <v>9</v>
      </c>
      <c r="H475" s="5">
        <f t="shared" si="7"/>
        <v>473.78053921808316</v>
      </c>
    </row>
    <row r="476" spans="1:8" x14ac:dyDescent="0.2">
      <c r="A476" s="5">
        <f>474.15294</f>
        <v>474.15294</v>
      </c>
      <c r="B476" s="3">
        <f>729000</f>
        <v>729000</v>
      </c>
      <c r="C476" s="1" t="s">
        <v>15</v>
      </c>
      <c r="D476" s="5">
        <f>2.83159117</f>
        <v>2.8315911699999998</v>
      </c>
      <c r="E476" s="5">
        <f>5.44571679</f>
        <v>5.4457167899999996</v>
      </c>
      <c r="F476" s="1">
        <v>5</v>
      </c>
      <c r="G476" s="1">
        <v>7</v>
      </c>
      <c r="H476" s="5">
        <f t="shared" si="7"/>
        <v>473.89940819663559</v>
      </c>
    </row>
    <row r="477" spans="1:8" x14ac:dyDescent="0.2">
      <c r="A477" s="5">
        <f>474.5128</f>
        <v>474.51280000000003</v>
      </c>
      <c r="B477" s="3">
        <f>8200</f>
        <v>8200</v>
      </c>
      <c r="C477" s="1" t="s">
        <v>10</v>
      </c>
      <c r="D477" s="5">
        <f>2.22271209</f>
        <v>2.2227120899999999</v>
      </c>
      <c r="E477" s="5">
        <f>4.83485507</f>
        <v>4.8348550699999997</v>
      </c>
      <c r="F477" s="1">
        <v>3</v>
      </c>
      <c r="G477" s="1">
        <v>3</v>
      </c>
      <c r="H477" s="5">
        <f t="shared" si="7"/>
        <v>474.25910210690807</v>
      </c>
    </row>
    <row r="478" spans="1:8" x14ac:dyDescent="0.2">
      <c r="A478" s="5">
        <f>474.57998</f>
        <v>474.57997999999998</v>
      </c>
      <c r="B478" s="3">
        <f>2270000</f>
        <v>2270000</v>
      </c>
      <c r="C478" s="1" t="s">
        <v>6</v>
      </c>
      <c r="D478" s="5">
        <f>3.65369332</f>
        <v>3.6536933199999999</v>
      </c>
      <c r="E478" s="5">
        <f>6.26546671</f>
        <v>6.2654667100000001</v>
      </c>
      <c r="F478" s="1">
        <v>5</v>
      </c>
      <c r="G478" s="1">
        <v>7</v>
      </c>
      <c r="H478" s="5">
        <f t="shared" si="7"/>
        <v>474.32621413975846</v>
      </c>
    </row>
    <row r="479" spans="1:8" x14ac:dyDescent="0.2">
      <c r="A479" s="5">
        <f>474.99474</f>
        <v>474.99473999999998</v>
      </c>
      <c r="B479" s="3">
        <f>2000000</f>
        <v>2000000</v>
      </c>
      <c r="C479" s="1" t="s">
        <v>10</v>
      </c>
      <c r="D479" s="5">
        <f>4.55852281</f>
        <v>4.5585228100000004</v>
      </c>
      <c r="E479" s="5">
        <f>7.16801526</f>
        <v>7.1680152599999998</v>
      </c>
      <c r="F479" s="1">
        <v>7</v>
      </c>
      <c r="G479" s="1">
        <v>7</v>
      </c>
      <c r="H479" s="5">
        <f t="shared" si="7"/>
        <v>474.74081952973773</v>
      </c>
    </row>
    <row r="480" spans="1:8" x14ac:dyDescent="0.2">
      <c r="A480" s="5">
        <f>476.68656</f>
        <v>476.68655999999999</v>
      </c>
      <c r="B480" s="3">
        <f>230000</f>
        <v>230000</v>
      </c>
      <c r="C480" s="1" t="s">
        <v>10</v>
      </c>
      <c r="D480" s="5">
        <f>3.41695281</f>
        <v>3.4169528100000002</v>
      </c>
      <c r="E480" s="5">
        <f>6.01718438</f>
        <v>6.0171843799999998</v>
      </c>
      <c r="F480" s="1">
        <v>5</v>
      </c>
      <c r="G480" s="1">
        <v>7</v>
      </c>
      <c r="H480" s="5">
        <f t="shared" si="7"/>
        <v>476.43163730592778</v>
      </c>
    </row>
    <row r="481" spans="1:8" x14ac:dyDescent="0.2">
      <c r="A481" s="5">
        <f>476.83962</f>
        <v>476.83962000000002</v>
      </c>
      <c r="B481" s="3">
        <f>113000</f>
        <v>113000</v>
      </c>
      <c r="C481" s="1" t="s">
        <v>5</v>
      </c>
      <c r="D481" s="5">
        <f>2.93984587</f>
        <v>2.9398458700000001</v>
      </c>
      <c r="E481" s="5">
        <f>5.53924278</f>
        <v>5.5392427800000004</v>
      </c>
      <c r="F481" s="1">
        <v>9</v>
      </c>
      <c r="G481" s="1">
        <v>9</v>
      </c>
      <c r="H481" s="5">
        <f t="shared" si="7"/>
        <v>476.58461834120703</v>
      </c>
    </row>
    <row r="482" spans="1:8" x14ac:dyDescent="0.2">
      <c r="A482" s="5">
        <f>477.16962</f>
        <v>477.16962000000001</v>
      </c>
      <c r="B482" s="3">
        <f>34200</f>
        <v>34200</v>
      </c>
      <c r="C482" s="1" t="s">
        <v>15</v>
      </c>
      <c r="D482" s="5">
        <f>2.1978664</f>
        <v>2.1978664000000001</v>
      </c>
      <c r="E482" s="5">
        <f>4.79546566</f>
        <v>4.7954656599999996</v>
      </c>
      <c r="F482" s="1">
        <v>5</v>
      </c>
      <c r="G482" s="1">
        <v>5</v>
      </c>
      <c r="H482" s="5">
        <f t="shared" si="7"/>
        <v>476.91443531965871</v>
      </c>
    </row>
    <row r="483" spans="1:8" x14ac:dyDescent="0.2">
      <c r="A483" s="5">
        <f>477.28027</f>
        <v>477.28026999999997</v>
      </c>
      <c r="B483" s="3">
        <f>53000</f>
        <v>53000</v>
      </c>
      <c r="C483" s="1" t="s">
        <v>15</v>
      </c>
      <c r="D483" s="5">
        <f>1.55735733</f>
        <v>1.5573573300000001</v>
      </c>
      <c r="E483" s="5">
        <f>4.15435379</f>
        <v>4.15435379</v>
      </c>
      <c r="F483" s="1">
        <v>7</v>
      </c>
      <c r="G483" s="1">
        <v>7</v>
      </c>
      <c r="H483" s="5">
        <f t="shared" si="7"/>
        <v>477.02513397714182</v>
      </c>
    </row>
    <row r="484" spans="1:8" x14ac:dyDescent="0.2">
      <c r="A484" s="5">
        <f>477.283</f>
        <v>477.28300000000002</v>
      </c>
      <c r="B484" s="3">
        <f>376000</f>
        <v>376000</v>
      </c>
      <c r="C484" s="1" t="s">
        <v>6</v>
      </c>
      <c r="D484" s="5">
        <f>3.01725044</f>
        <v>3.0172504400000002</v>
      </c>
      <c r="E484" s="5">
        <f>5.61423177</f>
        <v>5.61423177</v>
      </c>
      <c r="F484" s="1">
        <v>5</v>
      </c>
      <c r="G484" s="1">
        <v>5</v>
      </c>
      <c r="H484" s="5">
        <f t="shared" si="7"/>
        <v>477.02791312314247</v>
      </c>
    </row>
    <row r="485" spans="1:8" x14ac:dyDescent="0.2">
      <c r="A485" s="5">
        <f>477.6067</f>
        <v>477.60669999999999</v>
      </c>
      <c r="B485" s="3">
        <f>220000</f>
        <v>220000</v>
      </c>
      <c r="C485" s="1" t="s">
        <v>10</v>
      </c>
      <c r="D485" s="5">
        <f>3.30092244</f>
        <v>3.3009224399999999</v>
      </c>
      <c r="E485" s="5">
        <f>5.89614419</f>
        <v>5.8961441900000002</v>
      </c>
      <c r="F485" s="1">
        <v>5</v>
      </c>
      <c r="G485" s="1">
        <v>3</v>
      </c>
      <c r="H485" s="5">
        <f t="shared" si="7"/>
        <v>477.3513416607513</v>
      </c>
    </row>
    <row r="486" spans="1:8" x14ac:dyDescent="0.2">
      <c r="A486" s="5">
        <f>477.94391</f>
        <v>477.94391000000002</v>
      </c>
      <c r="B486" s="3">
        <f>2790000</f>
        <v>2790000</v>
      </c>
      <c r="C486" s="1" t="s">
        <v>5</v>
      </c>
      <c r="D486" s="5">
        <f>3.41489715</f>
        <v>3.4148971499999998</v>
      </c>
      <c r="E486" s="5">
        <f>6.00828827</f>
        <v>6.0082882700000004</v>
      </c>
      <c r="F486" s="1">
        <v>3</v>
      </c>
      <c r="G486" s="1">
        <v>1</v>
      </c>
      <c r="H486" s="5">
        <f t="shared" si="7"/>
        <v>477.68829572828287</v>
      </c>
    </row>
    <row r="487" spans="1:8" x14ac:dyDescent="0.2">
      <c r="A487" s="5">
        <f>478.59562</f>
        <v>478.59562</v>
      </c>
      <c r="B487" s="3">
        <f>400000</f>
        <v>400000</v>
      </c>
      <c r="C487" s="1" t="s">
        <v>10</v>
      </c>
      <c r="D487" s="5">
        <f>4.14264893</f>
        <v>4.14264893</v>
      </c>
      <c r="E487" s="5">
        <f>6.73250811</f>
        <v>6.7325081100000004</v>
      </c>
      <c r="F487" s="1">
        <v>7</v>
      </c>
      <c r="G487" s="1">
        <v>9</v>
      </c>
      <c r="H487" s="5">
        <f t="shared" si="7"/>
        <v>478.33974674625466</v>
      </c>
    </row>
    <row r="488" spans="1:8" x14ac:dyDescent="0.2">
      <c r="A488" s="5">
        <f>478.68067</f>
        <v>478.68067000000002</v>
      </c>
      <c r="B488" s="3">
        <f>1030000</f>
        <v>1030000</v>
      </c>
      <c r="C488" s="1" t="s">
        <v>14</v>
      </c>
      <c r="D488" s="5">
        <f>3.01725044</f>
        <v>3.0172504400000002</v>
      </c>
      <c r="E488" s="5">
        <f>5.60664989</f>
        <v>5.6066498899999999</v>
      </c>
      <c r="F488" s="1">
        <v>5</v>
      </c>
      <c r="G488" s="1">
        <v>7</v>
      </c>
      <c r="H488" s="5">
        <f t="shared" si="7"/>
        <v>478.42467266673094</v>
      </c>
    </row>
    <row r="489" spans="1:8" x14ac:dyDescent="0.2">
      <c r="A489" s="5">
        <f>478.78266</f>
        <v>478.78266000000002</v>
      </c>
      <c r="B489" s="3">
        <f>105000</f>
        <v>105000</v>
      </c>
      <c r="C489" s="1" t="s">
        <v>15</v>
      </c>
      <c r="D489" s="5">
        <f>2.99804479</f>
        <v>2.9980447899999998</v>
      </c>
      <c r="E489" s="5">
        <f>5.58689276</f>
        <v>5.5868927599999996</v>
      </c>
      <c r="F489" s="1">
        <v>7</v>
      </c>
      <c r="G489" s="1">
        <v>7</v>
      </c>
      <c r="H489" s="5">
        <f t="shared" si="7"/>
        <v>478.5265873567937</v>
      </c>
    </row>
    <row r="490" spans="1:8" x14ac:dyDescent="0.2">
      <c r="A490" s="5">
        <f>478.87566</f>
        <v>478.87565999999998</v>
      </c>
      <c r="B490" s="3">
        <f>386000</f>
        <v>386000</v>
      </c>
      <c r="C490" s="1" t="s">
        <v>6</v>
      </c>
      <c r="D490" s="5">
        <f>3.23672008</f>
        <v>3.23672008</v>
      </c>
      <c r="E490" s="5">
        <f>5.82506529</f>
        <v>5.8250652900000004</v>
      </c>
      <c r="F490" s="1">
        <v>13</v>
      </c>
      <c r="G490" s="1">
        <v>13</v>
      </c>
      <c r="H490" s="5">
        <f t="shared" si="7"/>
        <v>478.61953632902879</v>
      </c>
    </row>
    <row r="491" spans="1:8" x14ac:dyDescent="0.2">
      <c r="A491" s="5">
        <f>478.96505</f>
        <v>478.96505000000002</v>
      </c>
      <c r="B491" s="3">
        <f>4570000</f>
        <v>4570000</v>
      </c>
      <c r="C491" s="1" t="s">
        <v>13</v>
      </c>
      <c r="D491" s="5">
        <f>3.54652001</f>
        <v>3.5465200100000001</v>
      </c>
      <c r="E491" s="5">
        <f>6.13438193</f>
        <v>6.13438193</v>
      </c>
      <c r="F491" s="1">
        <v>5</v>
      </c>
      <c r="G491" s="1">
        <v>7</v>
      </c>
      <c r="H491" s="5">
        <f t="shared" si="7"/>
        <v>478.708919782576</v>
      </c>
    </row>
    <row r="492" spans="1:8" x14ac:dyDescent="0.2">
      <c r="A492" s="5">
        <f>479.0743</f>
        <v>479.07429999999999</v>
      </c>
      <c r="B492" s="3">
        <f>27000</f>
        <v>27000</v>
      </c>
      <c r="C492" s="1" t="s">
        <v>10</v>
      </c>
      <c r="D492" s="5">
        <f>3.25148176</f>
        <v>3.2514817599999999</v>
      </c>
      <c r="E492" s="5">
        <f>5.83875215</f>
        <v>5.8387521500000004</v>
      </c>
      <c r="F492" s="1">
        <v>7</v>
      </c>
      <c r="G492" s="1">
        <v>7</v>
      </c>
      <c r="H492" s="5">
        <f t="shared" si="7"/>
        <v>478.81836744155015</v>
      </c>
    </row>
    <row r="493" spans="1:8" x14ac:dyDescent="0.2">
      <c r="A493" s="5">
        <f>479.12458</f>
        <v>479.12457999999998</v>
      </c>
      <c r="B493" s="3">
        <f>356000</f>
        <v>356000</v>
      </c>
      <c r="C493" s="1" t="s">
        <v>6</v>
      </c>
      <c r="D493" s="5">
        <f>3.2739844</f>
        <v>3.2739843999999998</v>
      </c>
      <c r="E493" s="5">
        <f>5.86098438</f>
        <v>5.8609843799999997</v>
      </c>
      <c r="F493" s="1">
        <v>3</v>
      </c>
      <c r="G493" s="1">
        <v>3</v>
      </c>
      <c r="H493" s="5">
        <f t="shared" si="7"/>
        <v>478.86841663974923</v>
      </c>
    </row>
    <row r="494" spans="1:8" x14ac:dyDescent="0.2">
      <c r="A494" s="5">
        <f>479.39616</f>
        <v>479.39616000000001</v>
      </c>
      <c r="B494" s="3">
        <f>11000</f>
        <v>11000</v>
      </c>
      <c r="C494" s="1" t="s">
        <v>10</v>
      </c>
      <c r="D494" s="5">
        <f>3.0468689</f>
        <v>3.0468689000000002</v>
      </c>
      <c r="E494" s="5">
        <f>5.63240401</f>
        <v>5.6324040100000001</v>
      </c>
      <c r="F494" s="1">
        <v>9</v>
      </c>
      <c r="G494" s="1">
        <v>9</v>
      </c>
      <c r="H494" s="5">
        <f t="shared" si="7"/>
        <v>479.13972603901823</v>
      </c>
    </row>
    <row r="495" spans="1:8" x14ac:dyDescent="0.2">
      <c r="A495" s="5">
        <f>479.82646</f>
        <v>479.82646</v>
      </c>
      <c r="B495" s="3">
        <f>2770000</f>
        <v>2770000</v>
      </c>
      <c r="C495" s="1" t="s">
        <v>6</v>
      </c>
      <c r="D495" s="5">
        <f>4.1863644</f>
        <v>4.1863644000000004</v>
      </c>
      <c r="E495" s="5">
        <f>6.76958063</f>
        <v>6.7695806300000001</v>
      </c>
      <c r="F495" s="1">
        <v>5</v>
      </c>
      <c r="G495" s="1">
        <v>7</v>
      </c>
      <c r="H495" s="5">
        <f t="shared" si="7"/>
        <v>479.56983619201833</v>
      </c>
    </row>
    <row r="496" spans="1:8" x14ac:dyDescent="0.2">
      <c r="A496" s="5">
        <f>479.8731</f>
        <v>479.87310000000002</v>
      </c>
      <c r="B496" s="3">
        <f>4100</f>
        <v>4100</v>
      </c>
      <c r="C496" s="1" t="s">
        <v>10</v>
      </c>
      <c r="D496" s="5">
        <f>1.60789577</f>
        <v>1.6078957700000001</v>
      </c>
      <c r="E496" s="5">
        <f>4.19086081</f>
        <v>4.1908608100000002</v>
      </c>
      <c r="F496" s="1">
        <v>5</v>
      </c>
      <c r="G496" s="1">
        <v>5</v>
      </c>
      <c r="H496" s="5">
        <f t="shared" si="7"/>
        <v>479.61647373657939</v>
      </c>
    </row>
    <row r="497" spans="1:8" x14ac:dyDescent="0.2">
      <c r="A497" s="5">
        <f>479.94058</f>
        <v>479.94058000000001</v>
      </c>
      <c r="B497" s="3">
        <f>370000</f>
        <v>370000</v>
      </c>
      <c r="C497" s="1" t="s">
        <v>10</v>
      </c>
      <c r="D497" s="5">
        <f>3.63977237</f>
        <v>3.6397723700000002</v>
      </c>
      <c r="E497" s="5">
        <f>6.22237439</f>
        <v>6.2223743899999997</v>
      </c>
      <c r="F497" s="1">
        <v>5</v>
      </c>
      <c r="G497" s="1">
        <v>5</v>
      </c>
      <c r="H497" s="5">
        <f t="shared" si="7"/>
        <v>479.68389038496264</v>
      </c>
    </row>
    <row r="498" spans="1:8" x14ac:dyDescent="0.2">
      <c r="A498" s="5">
        <f>480.0128</f>
        <v>480.01280000000003</v>
      </c>
      <c r="B498" s="3">
        <f>120000</f>
        <v>120000</v>
      </c>
      <c r="C498" s="1" t="s">
        <v>10</v>
      </c>
      <c r="D498" s="5">
        <f>3.03847046</f>
        <v>3.0384704600000001</v>
      </c>
      <c r="E498" s="5">
        <f>5.62068415</f>
        <v>5.6206841499999998</v>
      </c>
      <c r="F498" s="1">
        <v>5</v>
      </c>
      <c r="G498" s="1">
        <v>5</v>
      </c>
      <c r="H498" s="5">
        <f t="shared" si="7"/>
        <v>479.75602835165165</v>
      </c>
    </row>
    <row r="499" spans="1:8" x14ac:dyDescent="0.2">
      <c r="A499" s="5">
        <f>480.06487</f>
        <v>480.06486999999998</v>
      </c>
      <c r="B499" s="3">
        <f>3010000</f>
        <v>3010000</v>
      </c>
      <c r="C499" s="1" t="s">
        <v>13</v>
      </c>
      <c r="D499" s="5">
        <f>4.14264893</f>
        <v>4.14264893</v>
      </c>
      <c r="E499" s="5">
        <f>6.72458242</f>
        <v>6.7245824199999999</v>
      </c>
      <c r="F499" s="1">
        <v>7</v>
      </c>
      <c r="G499" s="1">
        <v>9</v>
      </c>
      <c r="H499" s="5">
        <f t="shared" si="7"/>
        <v>479.80809306968752</v>
      </c>
    </row>
    <row r="500" spans="1:8" x14ac:dyDescent="0.2">
      <c r="A500" s="5">
        <f>480.28794</f>
        <v>480.28793999999999</v>
      </c>
      <c r="B500" s="3">
        <f>1770000</f>
        <v>1770000</v>
      </c>
      <c r="C500" s="1" t="s">
        <v>6</v>
      </c>
      <c r="D500" s="5">
        <f>3.64164057</f>
        <v>3.6416405699999999</v>
      </c>
      <c r="E500" s="5">
        <f>6.22237439</f>
        <v>6.2223743899999997</v>
      </c>
      <c r="F500" s="1">
        <v>7</v>
      </c>
      <c r="G500" s="1">
        <v>5</v>
      </c>
      <c r="H500" s="5">
        <f t="shared" si="7"/>
        <v>480.03113481485008</v>
      </c>
    </row>
    <row r="501" spans="1:8" x14ac:dyDescent="0.2">
      <c r="A501" s="5">
        <f>480.77084</f>
        <v>480.77084000000002</v>
      </c>
      <c r="B501" s="3">
        <f>230000</f>
        <v>230000</v>
      </c>
      <c r="C501" s="1" t="s">
        <v>12</v>
      </c>
      <c r="D501" s="5">
        <f>3.3682564</f>
        <v>3.3682563999999999</v>
      </c>
      <c r="E501" s="5">
        <f>5.9463987</f>
        <v>5.9463986999999996</v>
      </c>
      <c r="F501" s="1">
        <v>9</v>
      </c>
      <c r="G501" s="1">
        <v>9</v>
      </c>
      <c r="H501" s="5">
        <f t="shared" si="7"/>
        <v>480.51365677901606</v>
      </c>
    </row>
    <row r="502" spans="1:8" x14ac:dyDescent="0.2">
      <c r="A502" s="5">
        <f>480.8148</f>
        <v>480.81479999999999</v>
      </c>
      <c r="B502" s="3">
        <f>76000</f>
        <v>76000</v>
      </c>
      <c r="C502" s="1" t="s">
        <v>12</v>
      </c>
      <c r="D502" s="5">
        <f>3.25148176</f>
        <v>3.2514817599999999</v>
      </c>
      <c r="E502" s="5">
        <f>5.82938837</f>
        <v>5.8293883700000002</v>
      </c>
      <c r="F502" s="1">
        <v>7</v>
      </c>
      <c r="G502" s="1">
        <v>7</v>
      </c>
      <c r="H502" s="5">
        <f t="shared" si="7"/>
        <v>480.55758865122846</v>
      </c>
    </row>
    <row r="503" spans="1:8" x14ac:dyDescent="0.2">
      <c r="A503" s="5">
        <f>480.99381</f>
        <v>480.99381</v>
      </c>
      <c r="B503" s="3">
        <f>55000</f>
        <v>55000</v>
      </c>
      <c r="C503" s="1" t="s">
        <v>10</v>
      </c>
      <c r="D503" s="5">
        <f>3.5732189</f>
        <v>3.5732189000000001</v>
      </c>
      <c r="E503" s="5">
        <f>6.15016512</f>
        <v>6.1501651199999996</v>
      </c>
      <c r="F503" s="1">
        <v>11</v>
      </c>
      <c r="G503" s="1">
        <v>11</v>
      </c>
      <c r="H503" s="5">
        <f t="shared" si="7"/>
        <v>480.73668540496868</v>
      </c>
    </row>
    <row r="504" spans="1:8" x14ac:dyDescent="0.2">
      <c r="A504" s="5">
        <f>481.31125</f>
        <v>481.31124999999997</v>
      </c>
      <c r="B504" s="3">
        <f>140000</f>
        <v>140000</v>
      </c>
      <c r="C504" s="1" t="s">
        <v>10</v>
      </c>
      <c r="D504" s="5">
        <f>3.2739844</f>
        <v>3.2739843999999998</v>
      </c>
      <c r="E504" s="5">
        <f>5.84923154</f>
        <v>5.8492315399999999</v>
      </c>
      <c r="F504" s="1">
        <v>3</v>
      </c>
      <c r="G504" s="1">
        <v>3</v>
      </c>
      <c r="H504" s="5">
        <f t="shared" si="7"/>
        <v>481.05386276427936</v>
      </c>
    </row>
    <row r="505" spans="1:8" x14ac:dyDescent="0.2">
      <c r="A505" s="5">
        <f>481.77778</f>
        <v>481.77778000000001</v>
      </c>
      <c r="B505" s="3">
        <f>21000</f>
        <v>21000</v>
      </c>
      <c r="C505" s="1" t="s">
        <v>12</v>
      </c>
      <c r="D505" s="5">
        <f>2.22271209</f>
        <v>2.2227120899999999</v>
      </c>
      <c r="E505" s="5">
        <f>4.79546566</f>
        <v>4.7954656599999996</v>
      </c>
      <c r="F505" s="1">
        <v>3</v>
      </c>
      <c r="G505" s="1">
        <v>5</v>
      </c>
      <c r="H505" s="5">
        <f t="shared" si="7"/>
        <v>481.52011087080649</v>
      </c>
    </row>
    <row r="506" spans="1:8" x14ac:dyDescent="0.2">
      <c r="A506" s="5">
        <f>483.27273</f>
        <v>483.27273000000002</v>
      </c>
      <c r="B506" s="3">
        <f>1760000</f>
        <v>1760000</v>
      </c>
      <c r="C506" s="1" t="s">
        <v>6</v>
      </c>
      <c r="D506" s="5">
        <f>3.63977237</f>
        <v>3.6397723700000002</v>
      </c>
      <c r="E506" s="5">
        <f>6.20456765</f>
        <v>6.2045676500000004</v>
      </c>
      <c r="F506" s="1">
        <v>5</v>
      </c>
      <c r="G506" s="1">
        <v>3</v>
      </c>
      <c r="H506" s="5">
        <f t="shared" si="7"/>
        <v>483.01421713067992</v>
      </c>
    </row>
    <row r="507" spans="1:8" x14ac:dyDescent="0.2">
      <c r="A507" s="5">
        <f>483.45065</f>
        <v>483.45065</v>
      </c>
      <c r="B507" s="3">
        <f>27000</f>
        <v>27000</v>
      </c>
      <c r="C507" s="1" t="s">
        <v>10</v>
      </c>
      <c r="D507" s="5">
        <f>2.42419831</f>
        <v>2.42419831</v>
      </c>
      <c r="E507" s="5">
        <f>4.98804995</f>
        <v>4.9880499499999997</v>
      </c>
      <c r="F507" s="1">
        <v>3</v>
      </c>
      <c r="G507" s="1">
        <v>5</v>
      </c>
      <c r="H507" s="5">
        <f t="shared" si="7"/>
        <v>483.19199322690258</v>
      </c>
    </row>
    <row r="508" spans="1:8" x14ac:dyDescent="0.2">
      <c r="A508" s="5">
        <f>483.58676</f>
        <v>483.58676000000003</v>
      </c>
      <c r="B508" s="3">
        <f>1100000</f>
        <v>1100000</v>
      </c>
      <c r="C508" s="1" t="s">
        <v>12</v>
      </c>
      <c r="D508" s="5">
        <f>4.10337372</f>
        <v>4.1033737199999996</v>
      </c>
      <c r="E508" s="5">
        <f>6.66650376</f>
        <v>6.6665037600000003</v>
      </c>
      <c r="F508" s="1">
        <v>9</v>
      </c>
      <c r="G508" s="1">
        <v>9</v>
      </c>
      <c r="H508" s="5">
        <f t="shared" si="7"/>
        <v>483.32802664575792</v>
      </c>
    </row>
    <row r="509" spans="1:8" x14ac:dyDescent="0.2">
      <c r="A509" s="5">
        <f>483.85115</f>
        <v>483.85115000000002</v>
      </c>
      <c r="B509" s="3">
        <f>1200000</f>
        <v>1200000</v>
      </c>
      <c r="C509" s="1" t="s">
        <v>12</v>
      </c>
      <c r="D509" s="5">
        <f>3.41695281</f>
        <v>3.4169528100000002</v>
      </c>
      <c r="E509" s="5">
        <f>5.9786822</f>
        <v>5.9786821999999997</v>
      </c>
      <c r="F509" s="1">
        <v>5</v>
      </c>
      <c r="G509" s="1">
        <v>3</v>
      </c>
      <c r="H509" s="5">
        <f t="shared" si="7"/>
        <v>483.59229085850603</v>
      </c>
    </row>
    <row r="510" spans="1:8" x14ac:dyDescent="0.2">
      <c r="A510" s="5">
        <f>483.95442</f>
        <v>483.95442000000003</v>
      </c>
      <c r="B510" s="3">
        <f>390000</f>
        <v>390000</v>
      </c>
      <c r="C510" s="1" t="s">
        <v>6</v>
      </c>
      <c r="D510" s="5">
        <f>3.26711257</f>
        <v>3.2671125700000001</v>
      </c>
      <c r="E510" s="5">
        <f>5.8282952</f>
        <v>5.8282952000000003</v>
      </c>
      <c r="F510" s="1">
        <v>11</v>
      </c>
      <c r="G510" s="1">
        <v>11</v>
      </c>
      <c r="H510" s="5">
        <f t="shared" si="7"/>
        <v>483.69552790136754</v>
      </c>
    </row>
    <row r="511" spans="1:8" x14ac:dyDescent="0.2">
      <c r="A511" s="5">
        <f>484.03214</f>
        <v>484.03214000000003</v>
      </c>
      <c r="B511" s="3">
        <f>1700000</f>
        <v>1700000</v>
      </c>
      <c r="C511" s="1" t="s">
        <v>12</v>
      </c>
      <c r="D511" s="5">
        <f>4.15435379</f>
        <v>4.15435379</v>
      </c>
      <c r="E511" s="5">
        <f>6.71512541</f>
        <v>6.7151254099999997</v>
      </c>
      <c r="F511" s="1">
        <v>7</v>
      </c>
      <c r="G511" s="1">
        <v>7</v>
      </c>
      <c r="H511" s="5">
        <f t="shared" si="7"/>
        <v>483.77316219619115</v>
      </c>
    </row>
    <row r="512" spans="1:8" x14ac:dyDescent="0.2">
      <c r="A512" s="5">
        <f>484.27881</f>
        <v>484.27881000000002</v>
      </c>
      <c r="B512" s="3">
        <f>750000</f>
        <v>750000</v>
      </c>
      <c r="C512" s="1" t="s">
        <v>10</v>
      </c>
      <c r="D512" s="5">
        <f>4.10337372</f>
        <v>4.1033737199999996</v>
      </c>
      <c r="E512" s="5">
        <f>6.66284114</f>
        <v>6.6628411400000003</v>
      </c>
      <c r="F512" s="1">
        <v>9</v>
      </c>
      <c r="G512" s="1">
        <v>11</v>
      </c>
      <c r="H512" s="5">
        <f t="shared" si="7"/>
        <v>484.01967322938714</v>
      </c>
    </row>
    <row r="513" spans="1:8" x14ac:dyDescent="0.2">
      <c r="A513" s="5">
        <f>484.31435</f>
        <v>484.31434999999999</v>
      </c>
      <c r="B513" s="3">
        <f>920000</f>
        <v>920000</v>
      </c>
      <c r="C513" s="1" t="s">
        <v>10</v>
      </c>
      <c r="D513" s="5">
        <f>3.3965088</f>
        <v>3.3965087999999999</v>
      </c>
      <c r="E513" s="5">
        <f>5.9557884</f>
        <v>5.9557884000000003</v>
      </c>
      <c r="F513" s="1">
        <v>7</v>
      </c>
      <c r="G513" s="1">
        <v>5</v>
      </c>
      <c r="H513" s="5">
        <f t="shared" si="7"/>
        <v>484.05519438738264</v>
      </c>
    </row>
    <row r="514" spans="1:8" x14ac:dyDescent="0.2">
      <c r="A514" s="5">
        <f>484.40135</f>
        <v>484.40134999999998</v>
      </c>
      <c r="B514" s="3">
        <f>362000</f>
        <v>362000</v>
      </c>
      <c r="C514" s="1" t="s">
        <v>5</v>
      </c>
      <c r="D514" s="5">
        <f>3.54652001</f>
        <v>3.5465200100000001</v>
      </c>
      <c r="E514" s="5">
        <f>6.10533975</f>
        <v>6.1053397499999997</v>
      </c>
      <c r="F514" s="1">
        <v>5</v>
      </c>
      <c r="G514" s="1">
        <v>7</v>
      </c>
      <c r="H514" s="5">
        <f t="shared" si="7"/>
        <v>484.14218669020551</v>
      </c>
    </row>
    <row r="515" spans="1:8" x14ac:dyDescent="0.2">
      <c r="A515" s="5">
        <f>484.88832</f>
        <v>484.88832000000002</v>
      </c>
      <c r="B515" s="3">
        <f>68900</f>
        <v>68900</v>
      </c>
      <c r="C515" s="1" t="s">
        <v>5</v>
      </c>
      <c r="D515" s="5">
        <f>2.27860466</f>
        <v>2.2786046600000001</v>
      </c>
      <c r="E515" s="5">
        <f>4.83485507</f>
        <v>4.8348550699999997</v>
      </c>
      <c r="F515" s="1">
        <v>5</v>
      </c>
      <c r="G515" s="1">
        <v>3</v>
      </c>
      <c r="H515" s="5">
        <f t="shared" ref="H515:H578" si="8">$J$2*$J$1/((E515-D515)*$J$3)*1000000000</f>
        <v>484.62880609167826</v>
      </c>
    </row>
    <row r="516" spans="1:8" x14ac:dyDescent="0.2">
      <c r="A516" s="5">
        <f>485.91215</f>
        <v>485.91215</v>
      </c>
      <c r="B516" s="3">
        <f>1100000</f>
        <v>1100000</v>
      </c>
      <c r="C516" s="1" t="s">
        <v>10</v>
      </c>
      <c r="D516" s="5">
        <f>4.19086081</f>
        <v>4.1908608100000002</v>
      </c>
      <c r="E516" s="5">
        <f>6.74172473</f>
        <v>6.7417247299999996</v>
      </c>
      <c r="F516" s="1">
        <v>5</v>
      </c>
      <c r="G516" s="1">
        <v>5</v>
      </c>
      <c r="H516" s="5">
        <f t="shared" si="8"/>
        <v>485.65216456927396</v>
      </c>
    </row>
    <row r="517" spans="1:8" x14ac:dyDescent="0.2">
      <c r="A517" s="5">
        <f>485.97411</f>
        <v>485.97411</v>
      </c>
      <c r="B517" s="3">
        <f>16200000</f>
        <v>16200000</v>
      </c>
      <c r="C517" s="1" t="s">
        <v>14</v>
      </c>
      <c r="D517" s="5">
        <f>2.87550352</f>
        <v>2.8755035200000001</v>
      </c>
      <c r="E517" s="5">
        <f>5.42604198</f>
        <v>5.4260419799999999</v>
      </c>
      <c r="F517" s="1">
        <v>5</v>
      </c>
      <c r="G517" s="1">
        <v>3</v>
      </c>
      <c r="H517" s="5">
        <f t="shared" si="8"/>
        <v>485.71413593569696</v>
      </c>
    </row>
    <row r="518" spans="1:8" x14ac:dyDescent="0.2">
      <c r="A518" s="5">
        <f>486.09781</f>
        <v>486.09780999999998</v>
      </c>
      <c r="B518" s="3">
        <f>130000</f>
        <v>130000</v>
      </c>
      <c r="C518" s="1" t="s">
        <v>10</v>
      </c>
      <c r="D518" s="5">
        <f>3.3965088</f>
        <v>3.3965087999999999</v>
      </c>
      <c r="E518" s="5">
        <f>5.9463987</f>
        <v>5.9463986999999996</v>
      </c>
      <c r="F518" s="1">
        <v>7</v>
      </c>
      <c r="G518" s="1">
        <v>9</v>
      </c>
      <c r="H518" s="5">
        <f t="shared" si="8"/>
        <v>485.83767646974206</v>
      </c>
    </row>
    <row r="519" spans="1:8" x14ac:dyDescent="0.2">
      <c r="A519" s="5">
        <f>486.94636</f>
        <v>486.94636000000003</v>
      </c>
      <c r="B519" s="3">
        <f>130000</f>
        <v>130000</v>
      </c>
      <c r="C519" s="1" t="s">
        <v>10</v>
      </c>
      <c r="D519" s="5">
        <f>3.54652001</f>
        <v>3.5465200100000001</v>
      </c>
      <c r="E519" s="5">
        <f>6.09196644</f>
        <v>6.0919664400000002</v>
      </c>
      <c r="F519" s="1">
        <v>5</v>
      </c>
      <c r="G519" s="1">
        <v>7</v>
      </c>
      <c r="H519" s="5">
        <f t="shared" si="8"/>
        <v>486.68578119307068</v>
      </c>
    </row>
    <row r="520" spans="1:8" x14ac:dyDescent="0.2">
      <c r="A520" s="5">
        <f>487.0036</f>
        <v>487.00360000000001</v>
      </c>
      <c r="B520" s="3">
        <f>388000</f>
        <v>388000</v>
      </c>
      <c r="C520" s="1" t="s">
        <v>6</v>
      </c>
      <c r="D520" s="5">
        <f>3.92860683</f>
        <v>3.9286068300000001</v>
      </c>
      <c r="E520" s="5">
        <f>6.47375371</f>
        <v>6.4737537100000004</v>
      </c>
      <c r="F520" s="1">
        <v>5</v>
      </c>
      <c r="G520" s="1">
        <v>3</v>
      </c>
      <c r="H520" s="5">
        <f t="shared" si="8"/>
        <v>486.74306147300337</v>
      </c>
    </row>
    <row r="521" spans="1:8" x14ac:dyDescent="0.2">
      <c r="A521" s="5">
        <f>487.13179</f>
        <v>487.13179000000002</v>
      </c>
      <c r="B521" s="3">
        <f>24400000</f>
        <v>24400000</v>
      </c>
      <c r="C521" s="1" t="s">
        <v>14</v>
      </c>
      <c r="D521" s="5">
        <f>2.86539125</f>
        <v>2.8653912500000001</v>
      </c>
      <c r="E521" s="5">
        <f>5.40986861</f>
        <v>5.4098686100000002</v>
      </c>
      <c r="F521" s="1">
        <v>7</v>
      </c>
      <c r="G521" s="1">
        <v>5</v>
      </c>
      <c r="H521" s="5">
        <f t="shared" si="8"/>
        <v>486.87113658172336</v>
      </c>
    </row>
    <row r="522" spans="1:8" x14ac:dyDescent="0.2">
      <c r="A522" s="5">
        <f>487.19278</f>
        <v>487.19278000000003</v>
      </c>
      <c r="B522" s="3">
        <f>284000</f>
        <v>284000</v>
      </c>
      <c r="C522" s="1" t="s">
        <v>6</v>
      </c>
      <c r="D522" s="5">
        <f>3.25148176</f>
        <v>3.2514817599999999</v>
      </c>
      <c r="E522" s="5">
        <f>5.79564049</f>
        <v>5.7956404900000003</v>
      </c>
      <c r="F522" s="1">
        <v>7</v>
      </c>
      <c r="G522" s="1">
        <v>7</v>
      </c>
      <c r="H522" s="5">
        <f t="shared" si="8"/>
        <v>486.93211223879212</v>
      </c>
    </row>
    <row r="523" spans="1:8" x14ac:dyDescent="0.2">
      <c r="A523" s="5">
        <f>487.21375</f>
        <v>487.21375</v>
      </c>
      <c r="B523" s="3">
        <f>25400000</f>
        <v>25400000</v>
      </c>
      <c r="C523" s="1" t="s">
        <v>14</v>
      </c>
      <c r="D523" s="5">
        <f>2.88199261</f>
        <v>2.8819926100000002</v>
      </c>
      <c r="E523" s="5">
        <f>5.42604198</f>
        <v>5.4260419799999999</v>
      </c>
      <c r="F523" s="1">
        <v>3</v>
      </c>
      <c r="G523" s="1">
        <v>3</v>
      </c>
      <c r="H523" s="5">
        <f t="shared" si="8"/>
        <v>486.95304378847925</v>
      </c>
    </row>
    <row r="524" spans="1:8" x14ac:dyDescent="0.2">
      <c r="A524" s="5">
        <f>487.3751</f>
        <v>487.37509999999997</v>
      </c>
      <c r="B524" s="3">
        <f>55000</f>
        <v>55000</v>
      </c>
      <c r="C524" s="1" t="s">
        <v>10</v>
      </c>
      <c r="D524" s="5">
        <f>3.30092244</f>
        <v>3.3009224399999999</v>
      </c>
      <c r="E524" s="5">
        <f>5.84412959</f>
        <v>5.8441295899999997</v>
      </c>
      <c r="F524" s="1">
        <v>5</v>
      </c>
      <c r="G524" s="1">
        <v>5</v>
      </c>
      <c r="H524" s="5">
        <f t="shared" si="8"/>
        <v>487.11430536425758</v>
      </c>
    </row>
    <row r="525" spans="1:8" x14ac:dyDescent="0.2">
      <c r="A525" s="5">
        <f>487.58773</f>
        <v>487.58773000000002</v>
      </c>
      <c r="B525" s="3">
        <f>340000</f>
        <v>340000</v>
      </c>
      <c r="C525" s="1" t="s">
        <v>10</v>
      </c>
      <c r="D525" s="5">
        <f>3.33201954</f>
        <v>3.3320195400000001</v>
      </c>
      <c r="E525" s="5">
        <f>5.87411777</f>
        <v>5.8741177699999998</v>
      </c>
      <c r="F525" s="1">
        <v>11</v>
      </c>
      <c r="G525" s="1">
        <v>9</v>
      </c>
      <c r="H525" s="5">
        <f t="shared" si="8"/>
        <v>487.3267954990327</v>
      </c>
    </row>
    <row r="526" spans="1:8" x14ac:dyDescent="0.2">
      <c r="A526" s="5">
        <f>487.6188</f>
        <v>487.61880000000002</v>
      </c>
      <c r="B526" s="3">
        <f>27000</f>
        <v>27000</v>
      </c>
      <c r="C526" s="1" t="s">
        <v>10</v>
      </c>
      <c r="D526" s="5">
        <f>3.25148176</f>
        <v>3.2514817599999999</v>
      </c>
      <c r="E526" s="5">
        <f>5.79341882</f>
        <v>5.7934188200000003</v>
      </c>
      <c r="F526" s="1">
        <v>7</v>
      </c>
      <c r="G526" s="1">
        <v>5</v>
      </c>
      <c r="H526" s="5">
        <f t="shared" si="8"/>
        <v>487.35769416323103</v>
      </c>
    </row>
    <row r="527" spans="1:8" x14ac:dyDescent="0.2">
      <c r="A527" s="5">
        <f>487.7606</f>
        <v>487.76060000000001</v>
      </c>
      <c r="B527" s="3">
        <f>26000</f>
        <v>26000</v>
      </c>
      <c r="C527" s="1" t="s">
        <v>10</v>
      </c>
      <c r="D527" s="5">
        <f>2.99804479</f>
        <v>2.9980447899999998</v>
      </c>
      <c r="E527" s="5">
        <f>5.53924278</f>
        <v>5.5392427800000004</v>
      </c>
      <c r="F527" s="1">
        <v>7</v>
      </c>
      <c r="G527" s="1">
        <v>9</v>
      </c>
      <c r="H527" s="5">
        <f t="shared" si="8"/>
        <v>487.49943496911965</v>
      </c>
    </row>
    <row r="528" spans="1:8" x14ac:dyDescent="0.2">
      <c r="A528" s="5">
        <f>487.82108</f>
        <v>487.82107999999999</v>
      </c>
      <c r="B528" s="3">
        <f>12100000</f>
        <v>12100000</v>
      </c>
      <c r="C528" s="1" t="s">
        <v>14</v>
      </c>
      <c r="D528" s="5">
        <f>2.88515991</f>
        <v>2.88515991</v>
      </c>
      <c r="E528" s="5">
        <f>5.42604198</f>
        <v>5.4260419799999999</v>
      </c>
      <c r="F528" s="1">
        <v>1</v>
      </c>
      <c r="G528" s="1">
        <v>3</v>
      </c>
      <c r="H528" s="5">
        <f t="shared" si="8"/>
        <v>487.56004810158817</v>
      </c>
    </row>
    <row r="529" spans="1:8" x14ac:dyDescent="0.2">
      <c r="A529" s="5">
        <f>488.17175</f>
        <v>488.17174999999997</v>
      </c>
      <c r="B529" s="3">
        <f>515000</f>
        <v>515000</v>
      </c>
      <c r="C529" s="1" t="s">
        <v>6</v>
      </c>
      <c r="D529" s="5">
        <f>3.30140276</f>
        <v>3.3014027600000002</v>
      </c>
      <c r="E529" s="5">
        <f>5.84045966</f>
        <v>5.8404596599999996</v>
      </c>
      <c r="F529" s="1">
        <v>9</v>
      </c>
      <c r="G529" s="1">
        <v>9</v>
      </c>
      <c r="H529" s="5">
        <f t="shared" si="8"/>
        <v>487.9105246793261</v>
      </c>
    </row>
    <row r="530" spans="1:8" x14ac:dyDescent="0.2">
      <c r="A530" s="5">
        <f>488.90012</f>
        <v>488.90012000000002</v>
      </c>
      <c r="B530" s="3">
        <f>113000</f>
        <v>113000</v>
      </c>
      <c r="C530" s="1" t="s">
        <v>6</v>
      </c>
      <c r="D530" s="5">
        <f>2.1978664</f>
        <v>2.1978664000000001</v>
      </c>
      <c r="E530" s="5">
        <f>4.73314079</f>
        <v>4.7331407900000002</v>
      </c>
      <c r="F530" s="1">
        <v>5</v>
      </c>
      <c r="G530" s="1">
        <v>7</v>
      </c>
      <c r="H530" s="5">
        <f t="shared" si="8"/>
        <v>488.63846420570781</v>
      </c>
    </row>
    <row r="531" spans="1:8" x14ac:dyDescent="0.2">
      <c r="A531" s="5">
        <f>489.07548</f>
        <v>489.07548000000003</v>
      </c>
      <c r="B531" s="3">
        <f>22500000</f>
        <v>22500000</v>
      </c>
      <c r="C531" s="1" t="s">
        <v>14</v>
      </c>
      <c r="D531" s="5">
        <f>2.87550352</f>
        <v>2.8755035200000001</v>
      </c>
      <c r="E531" s="5">
        <f>5.40986861</f>
        <v>5.4098686100000002</v>
      </c>
      <c r="F531" s="1">
        <v>5</v>
      </c>
      <c r="G531" s="1">
        <v>5</v>
      </c>
      <c r="H531" s="5">
        <f t="shared" si="8"/>
        <v>488.81378186505196</v>
      </c>
    </row>
    <row r="532" spans="1:8" x14ac:dyDescent="0.2">
      <c r="A532" s="5">
        <f>489.14921</f>
        <v>489.14920999999998</v>
      </c>
      <c r="B532" s="3">
        <f>30800000</f>
        <v>30800000</v>
      </c>
      <c r="C532" s="1" t="s">
        <v>14</v>
      </c>
      <c r="D532" s="5">
        <f>2.85122419</f>
        <v>2.8512241899999999</v>
      </c>
      <c r="E532" s="5">
        <f>5.38520741</f>
        <v>5.3852074099999996</v>
      </c>
      <c r="F532" s="1">
        <v>9</v>
      </c>
      <c r="G532" s="1">
        <v>7</v>
      </c>
      <c r="H532" s="5">
        <f t="shared" si="8"/>
        <v>488.88744585675011</v>
      </c>
    </row>
    <row r="533" spans="1:8" x14ac:dyDescent="0.2">
      <c r="A533" s="5">
        <f>489.64382</f>
        <v>489.64382000000001</v>
      </c>
      <c r="B533" s="3">
        <f>540000</f>
        <v>540000</v>
      </c>
      <c r="C533" s="1" t="s">
        <v>10</v>
      </c>
      <c r="D533" s="5">
        <f>3.88350907</f>
        <v>3.8835090700000001</v>
      </c>
      <c r="E533" s="5">
        <f>6.41493251</f>
        <v>6.4149325099999999</v>
      </c>
      <c r="F533" s="1">
        <v>7</v>
      </c>
      <c r="G533" s="1">
        <v>5</v>
      </c>
      <c r="H533" s="5">
        <f t="shared" si="8"/>
        <v>489.38180973376114</v>
      </c>
    </row>
    <row r="534" spans="1:8" x14ac:dyDescent="0.2">
      <c r="A534" s="5">
        <f>490.33099</f>
        <v>490.33098999999999</v>
      </c>
      <c r="B534" s="3">
        <f>6580000</f>
        <v>6580000</v>
      </c>
      <c r="C534" s="1" t="s">
        <v>14</v>
      </c>
      <c r="D534" s="5">
        <f>2.88199261</f>
        <v>2.8819926100000002</v>
      </c>
      <c r="E534" s="5">
        <f>5.40986861</f>
        <v>5.4098686100000002</v>
      </c>
      <c r="F534" s="1">
        <v>3</v>
      </c>
      <c r="G534" s="1">
        <v>5</v>
      </c>
      <c r="H534" s="5">
        <f t="shared" si="8"/>
        <v>490.06857309047712</v>
      </c>
    </row>
    <row r="535" spans="1:8" x14ac:dyDescent="0.2">
      <c r="A535" s="5">
        <f>490.51325</f>
        <v>490.51325000000003</v>
      </c>
      <c r="B535" s="3">
        <f>530000</f>
        <v>530000</v>
      </c>
      <c r="C535" s="1" t="s">
        <v>10</v>
      </c>
      <c r="D535" s="5">
        <f>3.92860683</f>
        <v>3.9286068300000001</v>
      </c>
      <c r="E535" s="5">
        <f>6.45554341</f>
        <v>6.4555434099999998</v>
      </c>
      <c r="F535" s="1">
        <v>5</v>
      </c>
      <c r="G535" s="1">
        <v>5</v>
      </c>
      <c r="H535" s="5">
        <f t="shared" si="8"/>
        <v>490.25076215789437</v>
      </c>
    </row>
    <row r="536" spans="1:8" x14ac:dyDescent="0.2">
      <c r="A536" s="5">
        <f>491.15291</f>
        <v>491.15291000000002</v>
      </c>
      <c r="B536" s="3">
        <f>190000</f>
        <v>190000</v>
      </c>
      <c r="C536" s="1" t="s">
        <v>10</v>
      </c>
      <c r="D536" s="5">
        <f>4.2562228</f>
        <v>4.2562227999999998</v>
      </c>
      <c r="E536" s="5">
        <f>6.77986785</f>
        <v>6.7798678499999996</v>
      </c>
      <c r="F536" s="1">
        <v>7</v>
      </c>
      <c r="G536" s="1">
        <v>9</v>
      </c>
      <c r="H536" s="5">
        <f t="shared" si="8"/>
        <v>490.89018452482577</v>
      </c>
    </row>
    <row r="537" spans="1:8" x14ac:dyDescent="0.2">
      <c r="A537" s="5">
        <f>491.17791</f>
        <v>491.17791</v>
      </c>
      <c r="B537" s="3">
        <f>1600000</f>
        <v>1600000</v>
      </c>
      <c r="C537" s="1" t="s">
        <v>12</v>
      </c>
      <c r="D537" s="5">
        <f>3.92860683</f>
        <v>3.9286068300000001</v>
      </c>
      <c r="E537" s="5">
        <f>6.4521243</f>
        <v>6.4521243000000004</v>
      </c>
      <c r="F537" s="1">
        <v>5</v>
      </c>
      <c r="G537" s="1">
        <v>3</v>
      </c>
      <c r="H537" s="5">
        <f t="shared" si="8"/>
        <v>490.91500217339996</v>
      </c>
    </row>
    <row r="538" spans="1:8" x14ac:dyDescent="0.2">
      <c r="A538" s="5">
        <f>491.72297</f>
        <v>491.72296999999998</v>
      </c>
      <c r="B538" s="3">
        <f>6400000</f>
        <v>6400000</v>
      </c>
      <c r="C538" s="1" t="s">
        <v>12</v>
      </c>
      <c r="D538" s="5">
        <f>4.19086081</f>
        <v>4.1908608100000002</v>
      </c>
      <c r="E538" s="5">
        <f>6.71158094</f>
        <v>6.7115809400000002</v>
      </c>
      <c r="F538" s="1">
        <v>5</v>
      </c>
      <c r="G538" s="1">
        <v>3</v>
      </c>
      <c r="H538" s="5">
        <f t="shared" si="8"/>
        <v>491.45978941726582</v>
      </c>
    </row>
    <row r="539" spans="1:8" x14ac:dyDescent="0.2">
      <c r="A539" s="5">
        <f>491.80122</f>
        <v>491.80122</v>
      </c>
      <c r="B539" s="3">
        <f>4200000</f>
        <v>4200000</v>
      </c>
      <c r="C539" s="1" t="s">
        <v>10</v>
      </c>
      <c r="D539" s="5">
        <f>4.2305396</f>
        <v>4.2305396000000002</v>
      </c>
      <c r="E539" s="5">
        <f>6.75085864</f>
        <v>6.7508586399999997</v>
      </c>
      <c r="F539" s="1">
        <v>1</v>
      </c>
      <c r="G539" s="1">
        <v>3</v>
      </c>
      <c r="H539" s="5">
        <f t="shared" si="8"/>
        <v>491.53800158160266</v>
      </c>
    </row>
    <row r="540" spans="1:8" x14ac:dyDescent="0.2">
      <c r="A540" s="5">
        <f>491.89937</f>
        <v>491.89936999999998</v>
      </c>
      <c r="B540" s="3">
        <f>17900000</f>
        <v>17900000</v>
      </c>
      <c r="C540" s="1" t="s">
        <v>13</v>
      </c>
      <c r="D540" s="5">
        <f>2.86539125</f>
        <v>2.8653912500000001</v>
      </c>
      <c r="E540" s="5">
        <f>5.38520741</f>
        <v>5.3852074099999996</v>
      </c>
      <c r="F540" s="1">
        <v>7</v>
      </c>
      <c r="G540" s="1">
        <v>7</v>
      </c>
      <c r="H540" s="5">
        <f t="shared" si="8"/>
        <v>491.63609787694321</v>
      </c>
    </row>
    <row r="541" spans="1:8" x14ac:dyDescent="0.2">
      <c r="A541" s="5">
        <f>492.05028</f>
        <v>492.05027999999999</v>
      </c>
      <c r="B541" s="3">
        <f>35800000</f>
        <v>35800000</v>
      </c>
      <c r="C541" s="1" t="s">
        <v>14</v>
      </c>
      <c r="D541" s="5">
        <f>2.83252676</f>
        <v>2.8325267599999999</v>
      </c>
      <c r="E541" s="5">
        <f>5.35157038</f>
        <v>5.3515703800000001</v>
      </c>
      <c r="F541" s="1">
        <v>11</v>
      </c>
      <c r="G541" s="1">
        <v>9</v>
      </c>
      <c r="H541" s="5">
        <f t="shared" si="8"/>
        <v>491.78687277740073</v>
      </c>
    </row>
    <row r="542" spans="1:8" x14ac:dyDescent="0.2">
      <c r="A542" s="5">
        <f>492.47692</f>
        <v>492.47692000000001</v>
      </c>
      <c r="B542" s="3">
        <f>423000</f>
        <v>423000</v>
      </c>
      <c r="C542" s="1" t="s">
        <v>5</v>
      </c>
      <c r="D542" s="5">
        <f>2.27860466</f>
        <v>2.2786046600000001</v>
      </c>
      <c r="E542" s="5">
        <f>4.79546566</f>
        <v>4.7954656599999996</v>
      </c>
      <c r="F542" s="1">
        <v>5</v>
      </c>
      <c r="G542" s="1">
        <v>5</v>
      </c>
      <c r="H542" s="5">
        <f t="shared" si="8"/>
        <v>492.21334999019143</v>
      </c>
    </row>
    <row r="543" spans="1:8" x14ac:dyDescent="0.2">
      <c r="A543" s="5">
        <f>492.74179</f>
        <v>492.74178999999998</v>
      </c>
      <c r="B543" s="3">
        <f>258000</f>
        <v>258000</v>
      </c>
      <c r="C543" s="1" t="s">
        <v>15</v>
      </c>
      <c r="D543" s="5">
        <f>3.5732189</f>
        <v>3.5732189000000001</v>
      </c>
      <c r="E543" s="5">
        <f>6.08872711</f>
        <v>6.0887271099999998</v>
      </c>
      <c r="F543" s="1">
        <v>11</v>
      </c>
      <c r="G543" s="1">
        <v>9</v>
      </c>
      <c r="H543" s="5">
        <f t="shared" si="8"/>
        <v>492.47805248453676</v>
      </c>
    </row>
    <row r="544" spans="1:8" x14ac:dyDescent="0.2">
      <c r="A544" s="5">
        <f>493.0315</f>
        <v>493.03149999999999</v>
      </c>
      <c r="B544" s="3">
        <f>5750000</f>
        <v>5750000</v>
      </c>
      <c r="C544" s="1" t="s">
        <v>13</v>
      </c>
      <c r="D544" s="5">
        <f>3.95972364</f>
        <v>3.95972364</v>
      </c>
      <c r="E544" s="5">
        <f>6.47375371</f>
        <v>6.4737537100000004</v>
      </c>
      <c r="F544" s="1">
        <v>3</v>
      </c>
      <c r="G544" s="1">
        <v>3</v>
      </c>
      <c r="H544" s="5">
        <f t="shared" si="8"/>
        <v>492.76760809374991</v>
      </c>
    </row>
    <row r="545" spans="1:8" x14ac:dyDescent="0.2">
      <c r="A545" s="5">
        <f>493.88135</f>
        <v>493.88135</v>
      </c>
      <c r="B545" s="3">
        <f>3270000</f>
        <v>3270000</v>
      </c>
      <c r="C545" s="1" t="s">
        <v>14</v>
      </c>
      <c r="D545" s="5">
        <f>2.87550352</f>
        <v>2.8755035200000001</v>
      </c>
      <c r="E545" s="5">
        <f>5.38520741</f>
        <v>5.3852074099999996</v>
      </c>
      <c r="F545" s="1">
        <v>5</v>
      </c>
      <c r="G545" s="1">
        <v>7</v>
      </c>
      <c r="H545" s="5">
        <f t="shared" si="8"/>
        <v>493.61703155732181</v>
      </c>
    </row>
    <row r="546" spans="1:8" x14ac:dyDescent="0.2">
      <c r="A546" s="5">
        <f>493.96864</f>
        <v>493.96863999999999</v>
      </c>
      <c r="B546" s="3">
        <f>13900</f>
        <v>13900</v>
      </c>
      <c r="C546" s="1" t="s">
        <v>11</v>
      </c>
      <c r="D546" s="5">
        <f>0.85899575</f>
        <v>0.85899574999999995</v>
      </c>
      <c r="E546" s="5">
        <f>3.3682564</f>
        <v>3.3682563999999999</v>
      </c>
      <c r="F546" s="1">
        <v>11</v>
      </c>
      <c r="G546" s="1">
        <v>9</v>
      </c>
      <c r="H546" s="5">
        <f t="shared" si="8"/>
        <v>493.70422489575282</v>
      </c>
    </row>
    <row r="547" spans="1:8" x14ac:dyDescent="0.2">
      <c r="A547" s="5">
        <f>494.24589</f>
        <v>494.24588999999997</v>
      </c>
      <c r="B547" s="3">
        <f>967000</f>
        <v>967000</v>
      </c>
      <c r="C547" s="1" t="s">
        <v>5</v>
      </c>
      <c r="D547" s="5">
        <f>4.22036211</f>
        <v>4.2203621099999999</v>
      </c>
      <c r="E547" s="5">
        <f>6.72821528</f>
        <v>6.7282152799999997</v>
      </c>
      <c r="F547" s="1">
        <v>9</v>
      </c>
      <c r="G547" s="1">
        <v>11</v>
      </c>
      <c r="H547" s="5">
        <f t="shared" si="8"/>
        <v>493.98130603860795</v>
      </c>
    </row>
    <row r="548" spans="1:8" x14ac:dyDescent="0.2">
      <c r="A548" s="5">
        <f>494.5637</f>
        <v>494.56369999999998</v>
      </c>
      <c r="B548" s="3">
        <f>1300000</f>
        <v>1300000</v>
      </c>
      <c r="C548" s="1" t="s">
        <v>10</v>
      </c>
      <c r="D548" s="5">
        <f>4.20888328</f>
        <v>4.2088832800000002</v>
      </c>
      <c r="E548" s="5">
        <f>6.71512541</f>
        <v>6.7151254099999997</v>
      </c>
      <c r="F548" s="1">
        <v>5</v>
      </c>
      <c r="G548" s="1">
        <v>7</v>
      </c>
      <c r="H548" s="5">
        <f t="shared" si="8"/>
        <v>494.29884265398692</v>
      </c>
    </row>
    <row r="549" spans="1:8" x14ac:dyDescent="0.2">
      <c r="A549" s="5">
        <f>495.72983</f>
        <v>495.72982999999999</v>
      </c>
      <c r="B549" s="3">
        <f>11800000</f>
        <v>11800000</v>
      </c>
      <c r="C549" s="1" t="s">
        <v>13</v>
      </c>
      <c r="D549" s="5">
        <f>2.85122419</f>
        <v>2.8512241899999999</v>
      </c>
      <c r="E549" s="5">
        <f>5.35157038</f>
        <v>5.3515703800000001</v>
      </c>
      <c r="F549" s="1">
        <v>9</v>
      </c>
      <c r="G549" s="1">
        <v>9</v>
      </c>
      <c r="H549" s="5">
        <f t="shared" si="8"/>
        <v>495.46442377631826</v>
      </c>
    </row>
    <row r="550" spans="1:8" x14ac:dyDescent="0.2">
      <c r="A550" s="5">
        <f>495.75965</f>
        <v>495.75965000000002</v>
      </c>
      <c r="B550" s="3">
        <f>42200000</f>
        <v>42200000</v>
      </c>
      <c r="C550" s="1" t="s">
        <v>14</v>
      </c>
      <c r="D550" s="5">
        <f>2.80829367</f>
        <v>2.8082936699999999</v>
      </c>
      <c r="E550" s="5">
        <f>5.30848946</f>
        <v>5.3084894599999997</v>
      </c>
      <c r="F550" s="1">
        <v>13</v>
      </c>
      <c r="G550" s="1">
        <v>11</v>
      </c>
      <c r="H550" s="5">
        <f t="shared" si="8"/>
        <v>495.49422858185966</v>
      </c>
    </row>
    <row r="551" spans="1:8" x14ac:dyDescent="0.2">
      <c r="A551" s="5">
        <f>496.19137</f>
        <v>496.19137000000001</v>
      </c>
      <c r="B551" s="3">
        <f>140000</f>
        <v>140000</v>
      </c>
      <c r="C551" s="1" t="s">
        <v>10</v>
      </c>
      <c r="D551" s="5">
        <f>3.6343498</f>
        <v>3.6343497999999999</v>
      </c>
      <c r="E551" s="5">
        <f>6.13237029</f>
        <v>6.1323702899999999</v>
      </c>
      <c r="F551" s="1">
        <v>13</v>
      </c>
      <c r="G551" s="1">
        <v>11</v>
      </c>
      <c r="H551" s="5">
        <f t="shared" si="8"/>
        <v>495.92570966848353</v>
      </c>
    </row>
    <row r="552" spans="1:8" x14ac:dyDescent="0.2">
      <c r="A552" s="5">
        <f>496.25715</f>
        <v>496.25715000000002</v>
      </c>
      <c r="B552" s="3">
        <f>1370000</f>
        <v>1370000</v>
      </c>
      <c r="C552" s="1" t="s">
        <v>6</v>
      </c>
      <c r="D552" s="5">
        <f>4.17769679</f>
        <v>4.1776967899999997</v>
      </c>
      <c r="E552" s="5">
        <f>6.67538611</f>
        <v>6.6753861099999998</v>
      </c>
      <c r="F552" s="1">
        <v>11</v>
      </c>
      <c r="G552" s="1">
        <v>13</v>
      </c>
      <c r="H552" s="5">
        <f t="shared" si="8"/>
        <v>495.99146473095499</v>
      </c>
    </row>
    <row r="553" spans="1:8" x14ac:dyDescent="0.2">
      <c r="A553" s="5">
        <f>496.60886</f>
        <v>496.60885999999999</v>
      </c>
      <c r="B553" s="3">
        <f>3310000</f>
        <v>3310000</v>
      </c>
      <c r="C553" s="1" t="s">
        <v>6</v>
      </c>
      <c r="D553" s="5">
        <f>3.33201954</f>
        <v>3.3320195400000001</v>
      </c>
      <c r="E553" s="5">
        <f>5.82793998</f>
        <v>5.82793998</v>
      </c>
      <c r="F553" s="1">
        <v>11</v>
      </c>
      <c r="G553" s="1">
        <v>11</v>
      </c>
      <c r="H553" s="5">
        <f t="shared" si="8"/>
        <v>496.34297809174677</v>
      </c>
    </row>
    <row r="554" spans="1:8" x14ac:dyDescent="0.2">
      <c r="A554" s="5">
        <f>496.86975</f>
        <v>496.86975000000001</v>
      </c>
      <c r="B554" s="3">
        <f>710000</f>
        <v>710000</v>
      </c>
      <c r="C554" s="1" t="s">
        <v>10</v>
      </c>
      <c r="D554" s="5">
        <f>3.63977237</f>
        <v>3.6397723700000002</v>
      </c>
      <c r="E554" s="5">
        <f>6.13438193</f>
        <v>6.13438193</v>
      </c>
      <c r="F554" s="1">
        <v>5</v>
      </c>
      <c r="G554" s="1">
        <v>7</v>
      </c>
      <c r="H554" s="5">
        <f t="shared" si="8"/>
        <v>496.60379890056345</v>
      </c>
    </row>
    <row r="555" spans="1:8" x14ac:dyDescent="0.2">
      <c r="A555" s="5">
        <f>497.04955</f>
        <v>497.04955000000001</v>
      </c>
      <c r="B555" s="3">
        <f>982000</f>
        <v>982000</v>
      </c>
      <c r="C555" s="1" t="s">
        <v>5</v>
      </c>
      <c r="D555" s="5">
        <f>3.63521992</f>
        <v>3.6352199199999999</v>
      </c>
      <c r="E555" s="5">
        <f>6.12892712</f>
        <v>6.1289271200000002</v>
      </c>
      <c r="F555" s="1">
        <v>3</v>
      </c>
      <c r="G555" s="1">
        <v>5</v>
      </c>
      <c r="H555" s="5">
        <f t="shared" si="8"/>
        <v>496.78349738480244</v>
      </c>
    </row>
    <row r="556" spans="1:8" x14ac:dyDescent="0.2">
      <c r="A556" s="5">
        <f>497.31016</f>
        <v>497.31016</v>
      </c>
      <c r="B556" s="3">
        <f>11000000</f>
        <v>11000000</v>
      </c>
      <c r="C556" s="1" t="s">
        <v>15</v>
      </c>
      <c r="D556" s="5">
        <f>3.95972364</f>
        <v>3.95972364</v>
      </c>
      <c r="E556" s="5">
        <f>6.4521243</f>
        <v>6.4521243000000004</v>
      </c>
      <c r="F556" s="1">
        <v>3</v>
      </c>
      <c r="G556" s="1">
        <v>3</v>
      </c>
      <c r="H556" s="5">
        <f t="shared" si="8"/>
        <v>497.04391599288959</v>
      </c>
    </row>
    <row r="557" spans="1:8" x14ac:dyDescent="0.2">
      <c r="A557" s="5">
        <f>497.8603</f>
        <v>497.8603</v>
      </c>
      <c r="B557" s="3">
        <f>11900000</f>
        <v>11900000</v>
      </c>
      <c r="C557" s="1" t="s">
        <v>13</v>
      </c>
      <c r="D557" s="5">
        <f>3.98410712</f>
        <v>3.98410712</v>
      </c>
      <c r="E557" s="5">
        <f>6.47375371</f>
        <v>6.4737537100000004</v>
      </c>
      <c r="F557" s="1">
        <v>5</v>
      </c>
      <c r="G557" s="1">
        <v>3</v>
      </c>
      <c r="H557" s="5">
        <f t="shared" si="8"/>
        <v>497.59375055303036</v>
      </c>
    </row>
    <row r="558" spans="1:8" x14ac:dyDescent="0.2">
      <c r="A558" s="5">
        <f>498.52526</f>
        <v>498.52526</v>
      </c>
      <c r="B558" s="3">
        <f>14800000</f>
        <v>14800000</v>
      </c>
      <c r="C558" s="1" t="s">
        <v>13</v>
      </c>
      <c r="D558" s="5">
        <f>3.92860683</f>
        <v>3.9286068300000001</v>
      </c>
      <c r="E558" s="5">
        <f>6.41493251</f>
        <v>6.4149325099999999</v>
      </c>
      <c r="F558" s="1">
        <v>5</v>
      </c>
      <c r="G558" s="1">
        <v>5</v>
      </c>
      <c r="H558" s="5">
        <f t="shared" si="8"/>
        <v>498.25837147354855</v>
      </c>
    </row>
    <row r="559" spans="1:8" x14ac:dyDescent="0.2">
      <c r="A559" s="5">
        <f>498.55469</f>
        <v>498.55468999999999</v>
      </c>
      <c r="B559" s="3">
        <f>1390000</f>
        <v>1390000</v>
      </c>
      <c r="C559" s="1" t="s">
        <v>13</v>
      </c>
      <c r="D559" s="5">
        <f>2.86539125</f>
        <v>2.8653912500000001</v>
      </c>
      <c r="E559" s="5">
        <f>5.35157038</f>
        <v>5.3515703800000001</v>
      </c>
      <c r="F559" s="1">
        <v>7</v>
      </c>
      <c r="G559" s="1">
        <v>9</v>
      </c>
      <c r="H559" s="5">
        <f t="shared" si="8"/>
        <v>498.28774174838435</v>
      </c>
    </row>
    <row r="560" spans="1:8" x14ac:dyDescent="0.2">
      <c r="A560" s="5">
        <f>498.62223</f>
        <v>498.62223</v>
      </c>
      <c r="B560" s="3">
        <f>2300000</f>
        <v>2300000</v>
      </c>
      <c r="C560" s="1" t="s">
        <v>10</v>
      </c>
      <c r="D560" s="5">
        <f>4.21758325</f>
        <v>4.2175832499999997</v>
      </c>
      <c r="E560" s="5">
        <f>6.70342551</f>
        <v>6.7034255099999998</v>
      </c>
      <c r="F560" s="1">
        <v>3</v>
      </c>
      <c r="G560" s="1">
        <v>5</v>
      </c>
      <c r="H560" s="5">
        <f t="shared" si="8"/>
        <v>498.35526742942369</v>
      </c>
    </row>
    <row r="561" spans="1:8" x14ac:dyDescent="0.2">
      <c r="A561" s="5">
        <f>498.89498</f>
        <v>498.89497999999998</v>
      </c>
      <c r="B561" s="3">
        <f>5200000</f>
        <v>5200000</v>
      </c>
      <c r="C561" s="1" t="s">
        <v>15</v>
      </c>
      <c r="D561" s="5">
        <f>4.15435379</f>
        <v>4.15435379</v>
      </c>
      <c r="E561" s="5">
        <f>6.63883718</f>
        <v>6.6388371800000003</v>
      </c>
      <c r="F561" s="1">
        <v>7</v>
      </c>
      <c r="G561" s="1">
        <v>7</v>
      </c>
      <c r="H561" s="5">
        <f t="shared" si="8"/>
        <v>498.62783919423299</v>
      </c>
    </row>
    <row r="562" spans="1:8" x14ac:dyDescent="0.2">
      <c r="A562" s="5">
        <f>499.1867</f>
        <v>499.18669999999997</v>
      </c>
      <c r="B562" s="3">
        <f>390000</f>
        <v>390000</v>
      </c>
      <c r="C562" s="1" t="s">
        <v>10</v>
      </c>
      <c r="D562" s="5">
        <f>4.22036211</f>
        <v>4.2203621099999999</v>
      </c>
      <c r="E562" s="5">
        <f>6.7033939</f>
        <v>6.7033939</v>
      </c>
      <c r="F562" s="1">
        <v>9</v>
      </c>
      <c r="G562" s="1">
        <v>9</v>
      </c>
      <c r="H562" s="5">
        <f t="shared" si="8"/>
        <v>498.91934096810854</v>
      </c>
    </row>
    <row r="563" spans="1:8" x14ac:dyDescent="0.2">
      <c r="A563" s="5">
        <f>499.36802</f>
        <v>499.36802</v>
      </c>
      <c r="B563" s="3">
        <f>1900000</f>
        <v>1900000</v>
      </c>
      <c r="C563" s="1" t="s">
        <v>10</v>
      </c>
      <c r="D563" s="5">
        <f>4.20888328</f>
        <v>4.2088832800000002</v>
      </c>
      <c r="E563" s="5">
        <f>6.69101333</f>
        <v>6.6910133299999996</v>
      </c>
      <c r="F563" s="1">
        <v>5</v>
      </c>
      <c r="G563" s="1">
        <v>5</v>
      </c>
      <c r="H563" s="5">
        <f t="shared" si="8"/>
        <v>499.10059477732176</v>
      </c>
    </row>
    <row r="564" spans="1:8" x14ac:dyDescent="0.2">
      <c r="A564" s="5">
        <f>499.41292</f>
        <v>499.41291999999999</v>
      </c>
      <c r="B564" s="3">
        <f>31800</f>
        <v>31800</v>
      </c>
      <c r="C564" s="1" t="s">
        <v>11</v>
      </c>
      <c r="D564" s="5">
        <f>0.91460217</f>
        <v>0.91460216999999999</v>
      </c>
      <c r="E564" s="5">
        <f>3.3965088</f>
        <v>3.3965087999999999</v>
      </c>
      <c r="F564" s="1">
        <v>9</v>
      </c>
      <c r="G564" s="1">
        <v>7</v>
      </c>
      <c r="H564" s="5">
        <f t="shared" si="8"/>
        <v>499.14552356454396</v>
      </c>
    </row>
    <row r="565" spans="1:8" x14ac:dyDescent="0.2">
      <c r="A565" s="5">
        <f>499.54094</f>
        <v>499.54093999999998</v>
      </c>
      <c r="B565" s="3">
        <f>730000</f>
        <v>730000</v>
      </c>
      <c r="C565" s="1" t="s">
        <v>10</v>
      </c>
      <c r="D565" s="5">
        <f>4.26045326</f>
        <v>4.2604532600000002</v>
      </c>
      <c r="E565" s="5">
        <f>6.74172473</f>
        <v>6.7417247299999996</v>
      </c>
      <c r="F565" s="1">
        <v>3</v>
      </c>
      <c r="G565" s="1">
        <v>5</v>
      </c>
      <c r="H565" s="5">
        <f t="shared" si="8"/>
        <v>499.27329566629936</v>
      </c>
    </row>
    <row r="566" spans="1:8" x14ac:dyDescent="0.2">
      <c r="A566" s="5">
        <f>499.91122</f>
        <v>499.91122000000001</v>
      </c>
      <c r="B566" s="3">
        <f>730000</f>
        <v>730000</v>
      </c>
      <c r="C566" s="1" t="s">
        <v>10</v>
      </c>
      <c r="D566" s="5">
        <f>4.1863644</f>
        <v>4.1863644000000004</v>
      </c>
      <c r="E566" s="5">
        <f>6.66579718</f>
        <v>6.6657971800000002</v>
      </c>
      <c r="F566" s="1">
        <v>5</v>
      </c>
      <c r="G566" s="1">
        <v>7</v>
      </c>
      <c r="H566" s="5">
        <f t="shared" si="8"/>
        <v>499.64354519409994</v>
      </c>
    </row>
    <row r="567" spans="1:8" x14ac:dyDescent="0.2">
      <c r="A567" s="5">
        <f>500.18633</f>
        <v>500.18633</v>
      </c>
      <c r="B567" s="3">
        <f>37000000</f>
        <v>37000000</v>
      </c>
      <c r="C567" s="1" t="s">
        <v>15</v>
      </c>
      <c r="D567" s="5">
        <f>3.88160368</f>
        <v>3.88160368</v>
      </c>
      <c r="E567" s="5">
        <f>6.35967275</f>
        <v>6.3596727499999997</v>
      </c>
      <c r="F567" s="1">
        <v>9</v>
      </c>
      <c r="G567" s="1">
        <v>7</v>
      </c>
      <c r="H567" s="5">
        <f t="shared" si="8"/>
        <v>499.91850480166931</v>
      </c>
    </row>
    <row r="568" spans="1:8" x14ac:dyDescent="0.2">
      <c r="A568" s="5">
        <f>500.27924</f>
        <v>500.27924000000002</v>
      </c>
      <c r="B568" s="3">
        <f>880000</f>
        <v>880000</v>
      </c>
      <c r="C568" s="1" t="s">
        <v>12</v>
      </c>
      <c r="D568" s="5">
        <f>3.3965088</f>
        <v>3.3965087999999999</v>
      </c>
      <c r="E568" s="5">
        <f>5.87411777</f>
        <v>5.8741177699999998</v>
      </c>
      <c r="F568" s="1">
        <v>7</v>
      </c>
      <c r="G568" s="1">
        <v>9</v>
      </c>
      <c r="H568" s="5">
        <f t="shared" si="8"/>
        <v>500.0113412850871</v>
      </c>
    </row>
    <row r="569" spans="1:8" x14ac:dyDescent="0.2">
      <c r="A569" s="5">
        <f>500.4044</f>
        <v>500.40440000000001</v>
      </c>
      <c r="B569" s="3">
        <f>3700000</f>
        <v>3700000</v>
      </c>
      <c r="C569" s="1" t="s">
        <v>10</v>
      </c>
      <c r="D569" s="5">
        <f>4.20888328</f>
        <v>4.2088832800000002</v>
      </c>
      <c r="E569" s="5">
        <f>6.6858727</f>
        <v>6.6858727</v>
      </c>
      <c r="F569" s="1">
        <v>5</v>
      </c>
      <c r="G569" s="1">
        <v>3</v>
      </c>
      <c r="H569" s="5">
        <f t="shared" si="8"/>
        <v>500.13640521309253</v>
      </c>
    </row>
    <row r="570" spans="1:8" x14ac:dyDescent="0.2">
      <c r="A570" s="5">
        <f>500.61188</f>
        <v>500.61187999999999</v>
      </c>
      <c r="B570" s="3">
        <f>5870000</f>
        <v>5870000</v>
      </c>
      <c r="C570" s="1" t="s">
        <v>14</v>
      </c>
      <c r="D570" s="5">
        <f>2.83252676</f>
        <v>2.8325267599999999</v>
      </c>
      <c r="E570" s="5">
        <f>5.30848946</f>
        <v>5.3084894599999997</v>
      </c>
      <c r="F570" s="1">
        <v>11</v>
      </c>
      <c r="G570" s="1">
        <v>11</v>
      </c>
      <c r="H570" s="5">
        <f t="shared" si="8"/>
        <v>500.34379931073397</v>
      </c>
    </row>
    <row r="571" spans="1:8" x14ac:dyDescent="0.2">
      <c r="A571" s="5">
        <f>501.20681</f>
        <v>501.20681000000002</v>
      </c>
      <c r="B571" s="3">
        <f>55000</f>
        <v>55000</v>
      </c>
      <c r="C571" s="1" t="s">
        <v>11</v>
      </c>
      <c r="D571" s="5">
        <f>0.85899575</f>
        <v>0.85899574999999995</v>
      </c>
      <c r="E571" s="5">
        <f>3.33201954</f>
        <v>3.3320195400000001</v>
      </c>
      <c r="F571" s="1">
        <v>11</v>
      </c>
      <c r="G571" s="1">
        <v>11</v>
      </c>
      <c r="H571" s="5">
        <f t="shared" si="8"/>
        <v>500.93840151439178</v>
      </c>
    </row>
    <row r="572" spans="1:8" x14ac:dyDescent="0.2">
      <c r="A572" s="5">
        <f>501.26944</f>
        <v>501.26943999999997</v>
      </c>
      <c r="B572" s="3">
        <f>650000</f>
        <v>650000</v>
      </c>
      <c r="C572" s="1" t="s">
        <v>10</v>
      </c>
      <c r="D572" s="5">
        <f>4.28330826</f>
        <v>4.2833082600000001</v>
      </c>
      <c r="E572" s="5">
        <f>6.75602283</f>
        <v>6.75602283</v>
      </c>
      <c r="F572" s="1">
        <v>5</v>
      </c>
      <c r="G572" s="1">
        <v>7</v>
      </c>
      <c r="H572" s="5">
        <f t="shared" si="8"/>
        <v>501.00104528832179</v>
      </c>
    </row>
    <row r="573" spans="1:8" x14ac:dyDescent="0.2">
      <c r="A573" s="5">
        <f>501.49421</f>
        <v>501.49421000000001</v>
      </c>
      <c r="B573" s="3">
        <f>26400000</f>
        <v>26400000</v>
      </c>
      <c r="C573" s="1" t="s">
        <v>6</v>
      </c>
      <c r="D573" s="5">
        <f>3.94332623</f>
        <v>3.9433262299999998</v>
      </c>
      <c r="E573" s="5">
        <f>6.41493251</f>
        <v>6.4149325099999999</v>
      </c>
      <c r="F573" s="1">
        <v>7</v>
      </c>
      <c r="G573" s="1">
        <v>5</v>
      </c>
      <c r="H573" s="5">
        <f t="shared" si="8"/>
        <v>501.22569856460433</v>
      </c>
    </row>
    <row r="574" spans="1:8" x14ac:dyDescent="0.2">
      <c r="A574" s="5">
        <f>502.1591</f>
        <v>502.15910000000002</v>
      </c>
      <c r="B574" s="3">
        <f>6180000</f>
        <v>6180000</v>
      </c>
      <c r="C574" s="1" t="s">
        <v>15</v>
      </c>
      <c r="D574" s="5">
        <f>4.2562228</f>
        <v>4.2562227999999998</v>
      </c>
      <c r="E574" s="5">
        <f>6.72455738</f>
        <v>6.7245573800000003</v>
      </c>
      <c r="F574" s="1">
        <v>7</v>
      </c>
      <c r="G574" s="1">
        <v>9</v>
      </c>
      <c r="H574" s="5">
        <f t="shared" si="8"/>
        <v>501.89005749360882</v>
      </c>
    </row>
    <row r="575" spans="1:8" x14ac:dyDescent="0.2">
      <c r="A575" s="5">
        <f>502.22352</f>
        <v>502.22352000000001</v>
      </c>
      <c r="B575" s="3">
        <f>24000000</f>
        <v>24000000</v>
      </c>
      <c r="C575" s="1" t="s">
        <v>15</v>
      </c>
      <c r="D575" s="5">
        <f>3.98410712</f>
        <v>3.98410712</v>
      </c>
      <c r="E575" s="5">
        <f>6.4521243</f>
        <v>6.4521243000000004</v>
      </c>
      <c r="F575" s="1">
        <v>5</v>
      </c>
      <c r="G575" s="1">
        <v>3</v>
      </c>
      <c r="H575" s="5">
        <f t="shared" si="8"/>
        <v>501.95460319675038</v>
      </c>
    </row>
    <row r="576" spans="1:8" x14ac:dyDescent="0.2">
      <c r="A576" s="5">
        <f>502.2789</f>
        <v>502.27890000000002</v>
      </c>
      <c r="B576" s="3">
        <f>187000</f>
        <v>187000</v>
      </c>
      <c r="C576" s="1" t="s">
        <v>5</v>
      </c>
      <c r="D576" s="5">
        <f>2.99035244</f>
        <v>2.9903524400000001</v>
      </c>
      <c r="E576" s="5">
        <f>5.45809748</f>
        <v>5.4580974800000002</v>
      </c>
      <c r="F576" s="1">
        <v>9</v>
      </c>
      <c r="G576" s="1">
        <v>9</v>
      </c>
      <c r="H576" s="5">
        <f t="shared" si="8"/>
        <v>502.00995815583241</v>
      </c>
    </row>
    <row r="577" spans="1:8" x14ac:dyDescent="0.2">
      <c r="A577" s="5">
        <f>502.31863</f>
        <v>502.31862999999998</v>
      </c>
      <c r="B577" s="3">
        <f>2300000</f>
        <v>2300000</v>
      </c>
      <c r="C577" s="1" t="s">
        <v>10</v>
      </c>
      <c r="D577" s="5">
        <f>4.28330826</f>
        <v>4.2833082600000001</v>
      </c>
      <c r="E577" s="5">
        <f>6.75085864</f>
        <v>6.7508586399999997</v>
      </c>
      <c r="F577" s="1">
        <v>5</v>
      </c>
      <c r="G577" s="1">
        <v>3</v>
      </c>
      <c r="H577" s="5">
        <f t="shared" si="8"/>
        <v>502.04956069414203</v>
      </c>
    </row>
    <row r="578" spans="1:8" x14ac:dyDescent="0.2">
      <c r="A578" s="5">
        <f>502.34975</f>
        <v>502.34974999999997</v>
      </c>
      <c r="B578" s="3">
        <f>600000</f>
        <v>600000</v>
      </c>
      <c r="C578" s="1" t="s">
        <v>10</v>
      </c>
      <c r="D578" s="5">
        <f>4.31247059</f>
        <v>4.3124705900000002</v>
      </c>
      <c r="E578" s="5">
        <f>6.77986785</f>
        <v>6.7798678499999996</v>
      </c>
      <c r="F578" s="1">
        <v>11</v>
      </c>
      <c r="G578" s="1">
        <v>9</v>
      </c>
      <c r="H578" s="5">
        <f t="shared" si="8"/>
        <v>502.08071653190666</v>
      </c>
    </row>
    <row r="579" spans="1:8" x14ac:dyDescent="0.2">
      <c r="A579" s="5">
        <f>502.7225</f>
        <v>502.72250000000003</v>
      </c>
      <c r="B579" s="3">
        <f>491000</f>
        <v>491000</v>
      </c>
      <c r="C579" s="1" t="s">
        <v>5</v>
      </c>
      <c r="D579" s="5">
        <f>3.63977237</f>
        <v>3.6397723700000002</v>
      </c>
      <c r="E579" s="5">
        <f>6.10533975</f>
        <v>6.1053397499999997</v>
      </c>
      <c r="F579" s="1">
        <v>5</v>
      </c>
      <c r="G579" s="1">
        <v>7</v>
      </c>
      <c r="H579" s="5">
        <f t="shared" ref="H579:H642" si="9">$J$2*$J$1/((E579-D579)*$J$3)*1000000000</f>
        <v>502.45334778466412</v>
      </c>
    </row>
    <row r="580" spans="1:8" x14ac:dyDescent="0.2">
      <c r="A580" s="5">
        <f>502.77563</f>
        <v>502.77562999999998</v>
      </c>
      <c r="B580" s="3">
        <f>2200000</f>
        <v>2200000</v>
      </c>
      <c r="C580" s="1" t="s">
        <v>10</v>
      </c>
      <c r="D580" s="5">
        <f>4.20888328</f>
        <v>4.2088832800000002</v>
      </c>
      <c r="E580" s="5">
        <f>6.67419029</f>
        <v>6.6741902900000003</v>
      </c>
      <c r="F580" s="1">
        <v>5</v>
      </c>
      <c r="G580" s="1">
        <v>7</v>
      </c>
      <c r="H580" s="5">
        <f t="shared" si="9"/>
        <v>502.50641370206586</v>
      </c>
    </row>
    <row r="581" spans="1:8" x14ac:dyDescent="0.2">
      <c r="A581" s="5">
        <f>502.8126</f>
        <v>502.81259999999997</v>
      </c>
      <c r="B581" s="3">
        <f>2210000</f>
        <v>2210000</v>
      </c>
      <c r="C581" s="1" t="s">
        <v>13</v>
      </c>
      <c r="D581" s="5">
        <f>3.5732189</f>
        <v>3.5732189000000001</v>
      </c>
      <c r="E581" s="5">
        <f>6.03834476</f>
        <v>6.0383447600000002</v>
      </c>
      <c r="F581" s="1">
        <v>11</v>
      </c>
      <c r="G581" s="1">
        <v>9</v>
      </c>
      <c r="H581" s="5">
        <f t="shared" si="9"/>
        <v>502.54334043198219</v>
      </c>
    </row>
    <row r="582" spans="1:8" x14ac:dyDescent="0.2">
      <c r="A582" s="5">
        <f>502.96173</f>
        <v>502.96172999999999</v>
      </c>
      <c r="B582" s="3">
        <f>530000</f>
        <v>530000</v>
      </c>
      <c r="C582" s="1" t="s">
        <v>12</v>
      </c>
      <c r="D582" s="5">
        <f>3.41489715</f>
        <v>3.4148971499999998</v>
      </c>
      <c r="E582" s="5">
        <f>5.87929188</f>
        <v>5.8792918800000002</v>
      </c>
      <c r="F582" s="1">
        <v>3</v>
      </c>
      <c r="G582" s="1">
        <v>5</v>
      </c>
      <c r="H582" s="5">
        <f t="shared" si="9"/>
        <v>502.6924336385278</v>
      </c>
    </row>
    <row r="583" spans="1:8" x14ac:dyDescent="0.2">
      <c r="A583" s="5">
        <f>503.07783</f>
        <v>503.07783000000001</v>
      </c>
      <c r="B583" s="3">
        <f>26000</f>
        <v>26000</v>
      </c>
      <c r="C583" s="1" t="s">
        <v>6</v>
      </c>
      <c r="D583" s="5">
        <f>3.23672008</f>
        <v>3.23672008</v>
      </c>
      <c r="E583" s="5">
        <f>5.70054647</f>
        <v>5.7005464699999999</v>
      </c>
      <c r="F583" s="1">
        <v>13</v>
      </c>
      <c r="G583" s="1">
        <v>15</v>
      </c>
      <c r="H583" s="5">
        <f t="shared" si="9"/>
        <v>502.80839157245282</v>
      </c>
    </row>
    <row r="584" spans="1:8" x14ac:dyDescent="0.2">
      <c r="A584" s="5">
        <f>503.1914</f>
        <v>503.19139999999999</v>
      </c>
      <c r="B584" s="3">
        <f>840000</f>
        <v>840000</v>
      </c>
      <c r="C584" s="1" t="s">
        <v>10</v>
      </c>
      <c r="D584" s="5">
        <f>4.37135106</f>
        <v>4.3713510600000003</v>
      </c>
      <c r="E584" s="5">
        <f>6.83462125</f>
        <v>6.8346212499999996</v>
      </c>
      <c r="F584" s="1">
        <v>9</v>
      </c>
      <c r="G584" s="1">
        <v>7</v>
      </c>
      <c r="H584" s="5">
        <f t="shared" si="9"/>
        <v>502.92192439907012</v>
      </c>
    </row>
    <row r="585" spans="1:8" x14ac:dyDescent="0.2">
      <c r="A585" s="5">
        <f>503.6922</f>
        <v>503.69220000000001</v>
      </c>
      <c r="B585" s="3">
        <f>47000</f>
        <v>47000</v>
      </c>
      <c r="C585" s="1" t="s">
        <v>10</v>
      </c>
      <c r="D585" s="5">
        <f>3.01725044</f>
        <v>3.0172504400000002</v>
      </c>
      <c r="E585" s="5">
        <f>5.4780717</f>
        <v>5.4780717000000001</v>
      </c>
      <c r="F585" s="1">
        <v>5</v>
      </c>
      <c r="G585" s="1">
        <v>5</v>
      </c>
      <c r="H585" s="5">
        <f t="shared" si="9"/>
        <v>503.42241608789703</v>
      </c>
    </row>
    <row r="586" spans="1:8" x14ac:dyDescent="0.2">
      <c r="A586" s="5">
        <f>503.92516</f>
        <v>503.92516000000001</v>
      </c>
      <c r="B586" s="3">
        <f>638000</f>
        <v>638000</v>
      </c>
      <c r="C586" s="1" t="s">
        <v>13</v>
      </c>
      <c r="D586" s="5">
        <f>3.3682564</f>
        <v>3.3682563999999999</v>
      </c>
      <c r="E586" s="5">
        <f>5.82793998</f>
        <v>5.82793998</v>
      </c>
      <c r="F586" s="1">
        <v>9</v>
      </c>
      <c r="G586" s="1">
        <v>11</v>
      </c>
      <c r="H586" s="5">
        <f t="shared" si="9"/>
        <v>503.65526458068354</v>
      </c>
    </row>
    <row r="587" spans="1:8" x14ac:dyDescent="0.2">
      <c r="A587" s="5">
        <f>504.10713</f>
        <v>504.10712999999998</v>
      </c>
      <c r="B587" s="3">
        <f>42900</f>
        <v>42900</v>
      </c>
      <c r="C587" s="1" t="s">
        <v>13</v>
      </c>
      <c r="D587" s="5">
        <f>0.95815732</f>
        <v>0.95815731999999998</v>
      </c>
      <c r="E587" s="5">
        <f>3.41695281</f>
        <v>3.4169528100000002</v>
      </c>
      <c r="F587" s="1">
        <v>7</v>
      </c>
      <c r="G587" s="1">
        <v>5</v>
      </c>
      <c r="H587" s="5">
        <f t="shared" si="9"/>
        <v>503.83717934575475</v>
      </c>
    </row>
    <row r="588" spans="1:8" x14ac:dyDescent="0.2">
      <c r="A588" s="5">
        <f>504.17557</f>
        <v>504.17556999999999</v>
      </c>
      <c r="B588" s="3">
        <f>235000</f>
        <v>235000</v>
      </c>
      <c r="C588" s="1" t="s">
        <v>13</v>
      </c>
      <c r="D588" s="5">
        <f>1.48486439</f>
        <v>1.48486439</v>
      </c>
      <c r="E588" s="5">
        <f>3.94332623</f>
        <v>3.9433262299999998</v>
      </c>
      <c r="F588" s="1">
        <v>9</v>
      </c>
      <c r="G588" s="1">
        <v>7</v>
      </c>
      <c r="H588" s="5">
        <f t="shared" si="9"/>
        <v>503.90555757809238</v>
      </c>
    </row>
    <row r="589" spans="1:8" x14ac:dyDescent="0.2">
      <c r="A589" s="5">
        <f>504.42111</f>
        <v>504.42111</v>
      </c>
      <c r="B589" s="3">
        <f>229000</f>
        <v>229000</v>
      </c>
      <c r="C589" s="1" t="s">
        <v>13</v>
      </c>
      <c r="D589" s="5">
        <f>2.85122419</f>
        <v>2.8512241899999999</v>
      </c>
      <c r="E589" s="5">
        <f>5.30848946</f>
        <v>5.3084894599999997</v>
      </c>
      <c r="F589" s="1">
        <v>9</v>
      </c>
      <c r="G589" s="1">
        <v>11</v>
      </c>
      <c r="H589" s="5">
        <f t="shared" si="9"/>
        <v>504.15093534840992</v>
      </c>
    </row>
    <row r="590" spans="1:8" x14ac:dyDescent="0.2">
      <c r="A590" s="5">
        <f>504.8436</f>
        <v>504.84359999999998</v>
      </c>
      <c r="B590" s="3">
        <f>4880000</f>
        <v>4880000</v>
      </c>
      <c r="C590" s="1" t="s">
        <v>13</v>
      </c>
      <c r="D590" s="5">
        <f>3.95972364</f>
        <v>3.95972364</v>
      </c>
      <c r="E590" s="5">
        <f>6.41493251</f>
        <v>6.4149325099999999</v>
      </c>
      <c r="F590" s="1">
        <v>3</v>
      </c>
      <c r="G590" s="1">
        <v>5</v>
      </c>
      <c r="H590" s="5">
        <f t="shared" si="9"/>
        <v>504.57319513906089</v>
      </c>
    </row>
    <row r="591" spans="1:8" x14ac:dyDescent="0.2">
      <c r="A591" s="5">
        <f>504.98194</f>
        <v>504.98194000000001</v>
      </c>
      <c r="B591" s="3">
        <f>1650000</f>
        <v>1650000</v>
      </c>
      <c r="C591" s="1" t="s">
        <v>13</v>
      </c>
      <c r="D591" s="5">
        <f>2.27860466</f>
        <v>2.2786046600000001</v>
      </c>
      <c r="E591" s="5">
        <f>4.73314079</f>
        <v>4.7331407900000002</v>
      </c>
      <c r="F591" s="1">
        <v>5</v>
      </c>
      <c r="G591" s="1">
        <v>7</v>
      </c>
      <c r="H591" s="5">
        <f t="shared" si="9"/>
        <v>504.71148871198847</v>
      </c>
    </row>
    <row r="592" spans="1:8" x14ac:dyDescent="0.2">
      <c r="A592" s="5">
        <f>505.16342</f>
        <v>505.16341999999997</v>
      </c>
      <c r="B592" s="3">
        <f>46500</f>
        <v>46500</v>
      </c>
      <c r="C592" s="1" t="s">
        <v>11</v>
      </c>
      <c r="D592" s="5">
        <f>0.91460217</f>
        <v>0.91460216999999999</v>
      </c>
      <c r="E592" s="5">
        <f>3.3682564</f>
        <v>3.3682563999999999</v>
      </c>
      <c r="F592" s="1">
        <v>9</v>
      </c>
      <c r="G592" s="1">
        <v>9</v>
      </c>
      <c r="H592" s="5">
        <f t="shared" si="9"/>
        <v>504.89289367787694</v>
      </c>
    </row>
    <row r="593" spans="1:8" x14ac:dyDescent="0.2">
      <c r="A593" s="5">
        <f>505.46423</f>
        <v>505.46422999999999</v>
      </c>
      <c r="B593" s="3">
        <f>447000</f>
        <v>447000</v>
      </c>
      <c r="C593" s="1" t="s">
        <v>6</v>
      </c>
      <c r="D593" s="5">
        <f>3.63977237</f>
        <v>3.6397723700000002</v>
      </c>
      <c r="E593" s="5">
        <f>6.09196644</f>
        <v>6.0919664400000002</v>
      </c>
      <c r="F593" s="1">
        <v>5</v>
      </c>
      <c r="G593" s="1">
        <v>7</v>
      </c>
      <c r="H593" s="5">
        <f t="shared" si="9"/>
        <v>505.19353236575728</v>
      </c>
    </row>
    <row r="594" spans="1:8" x14ac:dyDescent="0.2">
      <c r="A594" s="5">
        <f>505.5991</f>
        <v>505.59910000000002</v>
      </c>
      <c r="B594" s="3">
        <f>300000</f>
        <v>300000</v>
      </c>
      <c r="C594" s="1" t="s">
        <v>10</v>
      </c>
      <c r="D594" s="5">
        <f>4.31247059</f>
        <v>4.3124705900000002</v>
      </c>
      <c r="E594" s="5">
        <f>6.76400977</f>
        <v>6.7640097700000004</v>
      </c>
      <c r="F594" s="1">
        <v>11</v>
      </c>
      <c r="G594" s="1">
        <v>9</v>
      </c>
      <c r="H594" s="5">
        <f t="shared" si="9"/>
        <v>505.32848684460464</v>
      </c>
    </row>
    <row r="595" spans="1:8" x14ac:dyDescent="0.2">
      <c r="A595" s="5">
        <f>505.68408</f>
        <v>505.68407999999999</v>
      </c>
      <c r="B595" s="3">
        <f>1000000</f>
        <v>1000000</v>
      </c>
      <c r="C595" s="1" t="s">
        <v>10</v>
      </c>
      <c r="D595" s="5">
        <f>4.26045326</f>
        <v>4.2604532600000002</v>
      </c>
      <c r="E595" s="5">
        <f>6.71158094</f>
        <v>6.7115809400000002</v>
      </c>
      <c r="F595" s="1">
        <v>3</v>
      </c>
      <c r="G595" s="1">
        <v>3</v>
      </c>
      <c r="H595" s="5">
        <f t="shared" si="9"/>
        <v>505.41332235686031</v>
      </c>
    </row>
    <row r="596" spans="1:8" x14ac:dyDescent="0.2">
      <c r="A596" s="5">
        <f>506.00787</f>
        <v>506.00787000000003</v>
      </c>
      <c r="B596" s="3">
        <f>138</f>
        <v>138</v>
      </c>
      <c r="C596" s="1" t="s">
        <v>6</v>
      </c>
      <c r="D596" s="5">
        <f>0</f>
        <v>0</v>
      </c>
      <c r="E596" s="5">
        <f>2.44955978</f>
        <v>2.44955978</v>
      </c>
      <c r="F596" s="1">
        <v>9</v>
      </c>
      <c r="G596" s="1">
        <v>7</v>
      </c>
      <c r="H596" s="5">
        <f t="shared" si="9"/>
        <v>505.73682438142532</v>
      </c>
    </row>
    <row r="597" spans="1:8" x14ac:dyDescent="0.2">
      <c r="A597" s="5">
        <f>506.51924</f>
        <v>506.51924000000002</v>
      </c>
      <c r="B597" s="3">
        <f>886000</f>
        <v>886000</v>
      </c>
      <c r="C597" s="1" t="s">
        <v>15</v>
      </c>
      <c r="D597" s="5">
        <f>3.64164057</f>
        <v>3.6416405699999999</v>
      </c>
      <c r="E597" s="5">
        <f>6.08872711</f>
        <v>6.0887271099999998</v>
      </c>
      <c r="F597" s="1">
        <v>7</v>
      </c>
      <c r="G597" s="1">
        <v>9</v>
      </c>
      <c r="H597" s="5">
        <f t="shared" si="9"/>
        <v>506.24796631412266</v>
      </c>
    </row>
    <row r="598" spans="1:8" x14ac:dyDescent="0.2">
      <c r="A598" s="5">
        <f>506.87655</f>
        <v>506.87655000000001</v>
      </c>
      <c r="B598" s="3">
        <f>3370000</f>
        <v>3370000</v>
      </c>
      <c r="C598" s="1" t="s">
        <v>14</v>
      </c>
      <c r="D598" s="5">
        <f>2.93984587</f>
        <v>2.9398458700000001</v>
      </c>
      <c r="E598" s="5">
        <f>5.38520741</f>
        <v>5.3852074099999996</v>
      </c>
      <c r="F598" s="1">
        <v>9</v>
      </c>
      <c r="G598" s="1">
        <v>7</v>
      </c>
      <c r="H598" s="5">
        <f t="shared" si="9"/>
        <v>506.60508231828294</v>
      </c>
    </row>
    <row r="599" spans="1:8" x14ac:dyDescent="0.2">
      <c r="A599" s="5">
        <f>507.4748</f>
        <v>507.47480000000002</v>
      </c>
      <c r="B599" s="3">
        <f>14000000</f>
        <v>14000000</v>
      </c>
      <c r="C599" s="1" t="s">
        <v>12</v>
      </c>
      <c r="D599" s="5">
        <f>4.22036211</f>
        <v>4.2203621099999999</v>
      </c>
      <c r="E599" s="5">
        <f>6.66284114</f>
        <v>6.6628411400000003</v>
      </c>
      <c r="F599" s="1">
        <v>9</v>
      </c>
      <c r="G599" s="1">
        <v>11</v>
      </c>
      <c r="H599" s="5">
        <f t="shared" si="9"/>
        <v>507.20295611695093</v>
      </c>
    </row>
    <row r="600" spans="1:8" x14ac:dyDescent="0.2">
      <c r="A600" s="5">
        <f>507.92227</f>
        <v>507.92227000000003</v>
      </c>
      <c r="B600" s="3">
        <f>738000</f>
        <v>738000</v>
      </c>
      <c r="C600" s="1" t="s">
        <v>13</v>
      </c>
      <c r="D600" s="5">
        <f>2.1978664</f>
        <v>2.1978664000000001</v>
      </c>
      <c r="E600" s="5">
        <f>4.63819369</f>
        <v>4.6381936899999996</v>
      </c>
      <c r="F600" s="1">
        <v>5</v>
      </c>
      <c r="G600" s="1">
        <v>3</v>
      </c>
      <c r="H600" s="5">
        <f t="shared" si="9"/>
        <v>507.65017846014547</v>
      </c>
    </row>
    <row r="601" spans="1:8" x14ac:dyDescent="0.2">
      <c r="A601" s="5">
        <f>507.97396</f>
        <v>507.97395999999998</v>
      </c>
      <c r="B601" s="3">
        <f>51900</f>
        <v>51900</v>
      </c>
      <c r="C601" s="1" t="s">
        <v>11</v>
      </c>
      <c r="D601" s="5">
        <f>0.99011115</f>
        <v>0.99011115000000005</v>
      </c>
      <c r="E601" s="5">
        <f>3.43018998</f>
        <v>3.4301899800000002</v>
      </c>
      <c r="F601" s="1">
        <v>5</v>
      </c>
      <c r="G601" s="1">
        <v>3</v>
      </c>
      <c r="H601" s="5">
        <f t="shared" si="9"/>
        <v>507.70186972593132</v>
      </c>
    </row>
    <row r="602" spans="1:8" x14ac:dyDescent="0.2">
      <c r="A602" s="5">
        <f>508.09358</f>
        <v>508.09357999999997</v>
      </c>
      <c r="B602" s="3">
        <f>18000</f>
        <v>18000</v>
      </c>
      <c r="C602" s="1" t="s">
        <v>10</v>
      </c>
      <c r="D602" s="5">
        <f>3.26711257</f>
        <v>3.2671125700000001</v>
      </c>
      <c r="E602" s="5">
        <f>5.70661711</f>
        <v>5.7066171099999998</v>
      </c>
      <c r="F602" s="1">
        <v>11</v>
      </c>
      <c r="G602" s="1">
        <v>13</v>
      </c>
      <c r="H602" s="5">
        <f t="shared" si="9"/>
        <v>507.82138912094956</v>
      </c>
    </row>
    <row r="603" spans="1:8" x14ac:dyDescent="0.2">
      <c r="A603" s="5">
        <f>508.33382</f>
        <v>508.33382</v>
      </c>
      <c r="B603" s="3">
        <f>40600</f>
        <v>40600</v>
      </c>
      <c r="C603" s="1" t="s">
        <v>11</v>
      </c>
      <c r="D603" s="5">
        <f>0.95815732</f>
        <v>0.95815731999999998</v>
      </c>
      <c r="E603" s="5">
        <f>3.3965088</f>
        <v>3.3965087999999999</v>
      </c>
      <c r="F603" s="1">
        <v>7</v>
      </c>
      <c r="G603" s="1">
        <v>7</v>
      </c>
      <c r="H603" s="5">
        <f t="shared" si="9"/>
        <v>508.06153027194551</v>
      </c>
    </row>
    <row r="604" spans="1:8" x14ac:dyDescent="0.2">
      <c r="A604" s="5">
        <f>508.81528</f>
        <v>508.81527999999997</v>
      </c>
      <c r="B604" s="3">
        <f>510000</f>
        <v>510000</v>
      </c>
      <c r="C604" s="1" t="s">
        <v>12</v>
      </c>
      <c r="D604" s="5">
        <f>4.15435379</f>
        <v>4.15435379</v>
      </c>
      <c r="E604" s="5">
        <f>6.59039805</f>
        <v>6.5903980500000001</v>
      </c>
      <c r="F604" s="1">
        <v>7</v>
      </c>
      <c r="G604" s="1">
        <v>9</v>
      </c>
      <c r="H604" s="5">
        <f t="shared" si="9"/>
        <v>508.54272420717967</v>
      </c>
    </row>
    <row r="605" spans="1:8" x14ac:dyDescent="0.2">
      <c r="A605" s="5">
        <f>509.07736</f>
        <v>509.07736</v>
      </c>
      <c r="B605" s="3">
        <f>19000000</f>
        <v>19000000</v>
      </c>
      <c r="C605" s="1" t="s">
        <v>12</v>
      </c>
      <c r="D605" s="5">
        <f>4.2562228</f>
        <v>4.2562227999999998</v>
      </c>
      <c r="E605" s="5">
        <f>6.69101333</f>
        <v>6.6910133299999996</v>
      </c>
      <c r="F605" s="1">
        <v>7</v>
      </c>
      <c r="G605" s="1">
        <v>5</v>
      </c>
      <c r="H605" s="5">
        <f t="shared" si="9"/>
        <v>508.80458462669594</v>
      </c>
    </row>
    <row r="606" spans="1:8" x14ac:dyDescent="0.2">
      <c r="A606" s="5">
        <f>509.86978</f>
        <v>509.86977999999999</v>
      </c>
      <c r="B606" s="3">
        <f>483000</f>
        <v>483000</v>
      </c>
      <c r="C606" s="1" t="s">
        <v>15</v>
      </c>
      <c r="D606" s="5">
        <f>2.17594512</f>
        <v>2.1759451200000002</v>
      </c>
      <c r="E606" s="5">
        <f>4.60695104</f>
        <v>4.6069510400000002</v>
      </c>
      <c r="F606" s="1">
        <v>7</v>
      </c>
      <c r="G606" s="1">
        <v>5</v>
      </c>
      <c r="H606" s="5">
        <f t="shared" si="9"/>
        <v>509.59669578659975</v>
      </c>
    </row>
    <row r="607" spans="1:8" x14ac:dyDescent="0.2">
      <c r="A607" s="5">
        <f>509.9077</f>
        <v>509.90769999999998</v>
      </c>
      <c r="B607" s="3">
        <f>2790000</f>
        <v>2790000</v>
      </c>
      <c r="C607" s="1" t="s">
        <v>13</v>
      </c>
      <c r="D607" s="5">
        <f>3.98410712</f>
        <v>3.98410712</v>
      </c>
      <c r="E607" s="5">
        <f>6.41493251</f>
        <v>6.4149325099999999</v>
      </c>
      <c r="F607" s="1">
        <v>5</v>
      </c>
      <c r="G607" s="1">
        <v>5</v>
      </c>
      <c r="H607" s="5">
        <f t="shared" si="9"/>
        <v>509.63454198150481</v>
      </c>
    </row>
    <row r="608" spans="1:8" x14ac:dyDescent="0.2">
      <c r="A608" s="5">
        <f>510.40298</f>
        <v>510.40298000000001</v>
      </c>
      <c r="B608" s="3">
        <f>57000</f>
        <v>57000</v>
      </c>
      <c r="C608" s="1" t="s">
        <v>10</v>
      </c>
      <c r="D608" s="5">
        <f>3.01725044</f>
        <v>3.0172504400000002</v>
      </c>
      <c r="E608" s="5">
        <f>5.44571679</f>
        <v>5.4457167899999996</v>
      </c>
      <c r="F608" s="1">
        <v>5</v>
      </c>
      <c r="G608" s="1">
        <v>7</v>
      </c>
      <c r="H608" s="5">
        <f t="shared" si="9"/>
        <v>510.1296068070547</v>
      </c>
    </row>
    <row r="609" spans="1:8" x14ac:dyDescent="0.2">
      <c r="A609" s="5">
        <f>510.41909</f>
        <v>510.41908999999998</v>
      </c>
      <c r="B609" s="3">
        <f>270000</f>
        <v>270000</v>
      </c>
      <c r="C609" s="1" t="s">
        <v>10</v>
      </c>
      <c r="D609" s="5">
        <f>4.17769679</f>
        <v>4.1776967899999997</v>
      </c>
      <c r="E609" s="5">
        <f>6.6060875</f>
        <v>6.6060875000000001</v>
      </c>
      <c r="F609" s="1">
        <v>11</v>
      </c>
      <c r="G609" s="1">
        <v>11</v>
      </c>
      <c r="H609" s="5">
        <f t="shared" si="9"/>
        <v>510.1454964261755</v>
      </c>
    </row>
    <row r="610" spans="1:8" x14ac:dyDescent="0.2">
      <c r="A610" s="5">
        <f>510.44372</f>
        <v>510.44371999999998</v>
      </c>
      <c r="B610" s="3">
        <f>1800000</f>
        <v>1800000</v>
      </c>
      <c r="C610" s="1" t="s">
        <v>10</v>
      </c>
      <c r="D610" s="5">
        <f>4.28330826</f>
        <v>4.2833082600000001</v>
      </c>
      <c r="E610" s="5">
        <f>6.71158094</f>
        <v>6.7115809400000002</v>
      </c>
      <c r="F610" s="1">
        <v>5</v>
      </c>
      <c r="G610" s="1">
        <v>3</v>
      </c>
      <c r="H610" s="5">
        <f t="shared" si="9"/>
        <v>510.17029284769734</v>
      </c>
    </row>
    <row r="611" spans="1:8" x14ac:dyDescent="0.2">
      <c r="A611" s="5">
        <f>510.74471</f>
        <v>510.74471</v>
      </c>
      <c r="B611" s="3">
        <f>41800</f>
        <v>41800</v>
      </c>
      <c r="C611" s="1" t="s">
        <v>11</v>
      </c>
      <c r="D611" s="5">
        <f>0.99011115</f>
        <v>0.99011115000000005</v>
      </c>
      <c r="E611" s="5">
        <f>3.41695281</f>
        <v>3.4169528100000002</v>
      </c>
      <c r="F611" s="1">
        <v>5</v>
      </c>
      <c r="G611" s="1">
        <v>5</v>
      </c>
      <c r="H611" s="5">
        <f t="shared" si="9"/>
        <v>510.47112165927751</v>
      </c>
    </row>
    <row r="612" spans="1:8" x14ac:dyDescent="0.2">
      <c r="A612" s="5">
        <f>510.76407</f>
        <v>510.76407</v>
      </c>
      <c r="B612" s="3">
        <f>195000</f>
        <v>195000</v>
      </c>
      <c r="C612" s="1" t="s">
        <v>11</v>
      </c>
      <c r="D612" s="5">
        <f>1.55735733</f>
        <v>1.5573573300000001</v>
      </c>
      <c r="E612" s="5">
        <f>3.98410712</f>
        <v>3.98410712</v>
      </c>
      <c r="F612" s="1">
        <v>7</v>
      </c>
      <c r="G612" s="1">
        <v>5</v>
      </c>
      <c r="H612" s="5">
        <f t="shared" si="9"/>
        <v>510.49044667668971</v>
      </c>
    </row>
    <row r="613" spans="1:8" x14ac:dyDescent="0.2">
      <c r="A613" s="5">
        <f>511.03585</f>
        <v>511.03584999999998</v>
      </c>
      <c r="B613" s="3">
        <f>999000</f>
        <v>999000</v>
      </c>
      <c r="C613" s="1" t="s">
        <v>13</v>
      </c>
      <c r="D613" s="5">
        <f>3.5732189</f>
        <v>3.5732189000000001</v>
      </c>
      <c r="E613" s="5">
        <f>5.99867825</f>
        <v>5.9986782500000002</v>
      </c>
      <c r="F613" s="1">
        <v>11</v>
      </c>
      <c r="G613" s="1">
        <v>11</v>
      </c>
      <c r="H613" s="5">
        <f t="shared" si="9"/>
        <v>510.76204772084219</v>
      </c>
    </row>
    <row r="614" spans="1:8" x14ac:dyDescent="0.2">
      <c r="A614" s="5">
        <f>511.04128</f>
        <v>511.04127999999997</v>
      </c>
      <c r="B614" s="3">
        <f>4930</f>
        <v>4930</v>
      </c>
      <c r="C614" s="1" t="s">
        <v>11</v>
      </c>
      <c r="D614" s="5">
        <f>0</f>
        <v>0</v>
      </c>
      <c r="E614" s="5">
        <f>2.42543332</f>
        <v>2.4254333199999998</v>
      </c>
      <c r="F614" s="1">
        <v>9</v>
      </c>
      <c r="G614" s="1">
        <v>9</v>
      </c>
      <c r="H614" s="5">
        <f t="shared" si="9"/>
        <v>510.76752927170264</v>
      </c>
    </row>
    <row r="615" spans="1:8" x14ac:dyDescent="0.2">
      <c r="A615" s="5">
        <f>511.57778</f>
        <v>511.57778000000002</v>
      </c>
      <c r="B615" s="3">
        <f>58000</f>
        <v>58000</v>
      </c>
      <c r="C615" s="1" t="s">
        <v>10</v>
      </c>
      <c r="D615" s="5">
        <f>3.5732189</f>
        <v>3.5732189000000001</v>
      </c>
      <c r="E615" s="5">
        <f>5.99610917</f>
        <v>5.9961091700000004</v>
      </c>
      <c r="F615" s="1">
        <v>11</v>
      </c>
      <c r="G615" s="1">
        <v>9</v>
      </c>
      <c r="H615" s="5">
        <f t="shared" si="9"/>
        <v>511.30362757602836</v>
      </c>
    </row>
    <row r="616" spans="1:8" x14ac:dyDescent="0.2">
      <c r="A616" s="5">
        <f>512.16388</f>
        <v>512.16387999999995</v>
      </c>
      <c r="B616" s="3">
        <f>7900000</f>
        <v>7900000</v>
      </c>
      <c r="C616" s="1" t="s">
        <v>12</v>
      </c>
      <c r="D616" s="5">
        <f>4.28330826</f>
        <v>4.2833082600000001</v>
      </c>
      <c r="E616" s="5">
        <f>6.70342551</f>
        <v>6.7034255099999998</v>
      </c>
      <c r="F616" s="1">
        <v>5</v>
      </c>
      <c r="G616" s="1">
        <v>5</v>
      </c>
      <c r="H616" s="5">
        <f t="shared" si="9"/>
        <v>511.88948976321831</v>
      </c>
    </row>
    <row r="617" spans="1:8" x14ac:dyDescent="0.2">
      <c r="A617" s="5">
        <f>512.37196</f>
        <v>512.37195999999994</v>
      </c>
      <c r="B617" s="3">
        <f>72400</f>
        <v>72400</v>
      </c>
      <c r="C617" s="1" t="s">
        <v>11</v>
      </c>
      <c r="D617" s="5">
        <f>1.01105568</f>
        <v>1.0110556799999999</v>
      </c>
      <c r="E617" s="5">
        <f>3.43018998</f>
        <v>3.4301899800000002</v>
      </c>
      <c r="F617" s="1">
        <v>3</v>
      </c>
      <c r="G617" s="1">
        <v>3</v>
      </c>
      <c r="H617" s="5">
        <f t="shared" si="9"/>
        <v>512.09748225621991</v>
      </c>
    </row>
    <row r="618" spans="1:8" x14ac:dyDescent="0.2">
      <c r="A618" s="5">
        <f>512.6193</f>
        <v>512.61929999999995</v>
      </c>
      <c r="B618" s="3">
        <f>3200000</f>
        <v>3200000</v>
      </c>
      <c r="C618" s="1" t="s">
        <v>10</v>
      </c>
      <c r="D618" s="5">
        <f>4.2562228</f>
        <v>4.2562227999999998</v>
      </c>
      <c r="E618" s="5">
        <f>6.67419029</f>
        <v>6.6741902900000003</v>
      </c>
      <c r="F618" s="1">
        <v>7</v>
      </c>
      <c r="G618" s="1">
        <v>7</v>
      </c>
      <c r="H618" s="5">
        <f t="shared" si="9"/>
        <v>512.34459908708811</v>
      </c>
    </row>
    <row r="619" spans="1:8" x14ac:dyDescent="0.2">
      <c r="A619" s="5">
        <f>512.7359</f>
        <v>512.73590000000002</v>
      </c>
      <c r="B619" s="3">
        <f>11400</f>
        <v>11400</v>
      </c>
      <c r="C619" s="1" t="s">
        <v>11</v>
      </c>
      <c r="D619" s="5">
        <f>0.91460217</f>
        <v>0.91460216999999999</v>
      </c>
      <c r="E619" s="5">
        <f>3.33201954</f>
        <v>3.3320195400000001</v>
      </c>
      <c r="F619" s="1">
        <v>9</v>
      </c>
      <c r="G619" s="1">
        <v>11</v>
      </c>
      <c r="H619" s="5">
        <f t="shared" si="9"/>
        <v>512.46119087398756</v>
      </c>
    </row>
    <row r="620" spans="1:8" x14ac:dyDescent="0.2">
      <c r="A620" s="5">
        <f>512.76793</f>
        <v>512.76792999999998</v>
      </c>
      <c r="B620" s="3">
        <f>38</f>
        <v>38</v>
      </c>
      <c r="C620" s="1" t="s">
        <v>11</v>
      </c>
      <c r="D620" s="5">
        <f>0.05156912</f>
        <v>5.1569120000000003E-2</v>
      </c>
      <c r="E620" s="5">
        <f>2.46883473</f>
        <v>2.4688347300000002</v>
      </c>
      <c r="F620" s="1">
        <v>7</v>
      </c>
      <c r="G620" s="1">
        <v>5</v>
      </c>
      <c r="H620" s="5">
        <f t="shared" si="9"/>
        <v>512.49336404933297</v>
      </c>
    </row>
    <row r="621" spans="1:8" x14ac:dyDescent="0.2">
      <c r="A621" s="5">
        <f>512.96305</f>
        <v>512.96304999999995</v>
      </c>
      <c r="B621" s="3">
        <f>550000</f>
        <v>550000</v>
      </c>
      <c r="C621" s="1" t="s">
        <v>10</v>
      </c>
      <c r="D621" s="5">
        <f>3.94332623</f>
        <v>3.9433262299999998</v>
      </c>
      <c r="E621" s="5">
        <f>6.35967275</f>
        <v>6.3596727499999997</v>
      </c>
      <c r="F621" s="1">
        <v>7</v>
      </c>
      <c r="G621" s="1">
        <v>7</v>
      </c>
      <c r="H621" s="5">
        <f t="shared" si="9"/>
        <v>512.68829781486102</v>
      </c>
    </row>
    <row r="622" spans="1:8" x14ac:dyDescent="0.2">
      <c r="A622" s="5">
        <f>513.14684</f>
        <v>513.14684</v>
      </c>
      <c r="B622" s="3">
        <f>258000</f>
        <v>258000</v>
      </c>
      <c r="C622" s="1" t="s">
        <v>15</v>
      </c>
      <c r="D622" s="5">
        <f>2.22271209</f>
        <v>2.2227120899999999</v>
      </c>
      <c r="E622" s="5">
        <f>4.63819369</f>
        <v>4.6381936899999996</v>
      </c>
      <c r="F622" s="1">
        <v>3</v>
      </c>
      <c r="G622" s="1">
        <v>3</v>
      </c>
      <c r="H622" s="5">
        <f t="shared" si="9"/>
        <v>512.87187791853319</v>
      </c>
    </row>
    <row r="623" spans="1:8" x14ac:dyDescent="0.2">
      <c r="A623" s="5">
        <f>513.6093</f>
        <v>513.60929999999996</v>
      </c>
      <c r="B623" s="3">
        <f>680000</f>
        <v>680000</v>
      </c>
      <c r="C623" s="1" t="s">
        <v>10</v>
      </c>
      <c r="D623" s="5">
        <f>4.1863644</f>
        <v>4.1863644000000004</v>
      </c>
      <c r="E623" s="5">
        <f>6.59967157</f>
        <v>6.5996715699999999</v>
      </c>
      <c r="F623" s="1">
        <v>5</v>
      </c>
      <c r="G623" s="1">
        <v>3</v>
      </c>
      <c r="H623" s="5">
        <f t="shared" si="9"/>
        <v>513.33398403223703</v>
      </c>
    </row>
    <row r="624" spans="1:8" x14ac:dyDescent="0.2">
      <c r="A624" s="5">
        <f>513.73818</f>
        <v>513.73818000000006</v>
      </c>
      <c r="B624" s="3">
        <f>10000000</f>
        <v>10000000</v>
      </c>
      <c r="C624" s="1" t="s">
        <v>12</v>
      </c>
      <c r="D624" s="5">
        <f>4.17769679</f>
        <v>4.1776967899999997</v>
      </c>
      <c r="E624" s="5">
        <f>6.59039805</f>
        <v>6.5903980500000001</v>
      </c>
      <c r="F624" s="1">
        <v>11</v>
      </c>
      <c r="G624" s="1">
        <v>9</v>
      </c>
      <c r="H624" s="5">
        <f t="shared" si="9"/>
        <v>513.46289936851235</v>
      </c>
    </row>
    <row r="625" spans="1:8" x14ac:dyDescent="0.2">
      <c r="A625" s="5">
        <f>513.92511</f>
        <v>513.92511000000002</v>
      </c>
      <c r="B625" s="3">
        <f>9160000</f>
        <v>9160000</v>
      </c>
      <c r="C625" s="1" t="s">
        <v>14</v>
      </c>
      <c r="D625" s="5">
        <f>2.99804479</f>
        <v>2.9980447899999998</v>
      </c>
      <c r="E625" s="5">
        <f>5.40986861</f>
        <v>5.4098686100000002</v>
      </c>
      <c r="F625" s="1">
        <v>7</v>
      </c>
      <c r="G625" s="1">
        <v>5</v>
      </c>
      <c r="H625" s="5">
        <f t="shared" si="9"/>
        <v>513.64970110862521</v>
      </c>
    </row>
    <row r="626" spans="1:8" x14ac:dyDescent="0.2">
      <c r="A626" s="5">
        <f>513.94625</f>
        <v>513.94624999999996</v>
      </c>
      <c r="B626" s="3">
        <f>8690000</f>
        <v>8690000</v>
      </c>
      <c r="C626" s="1" t="s">
        <v>14</v>
      </c>
      <c r="D626" s="5">
        <f>2.93984587</f>
        <v>2.9398458700000001</v>
      </c>
      <c r="E626" s="5">
        <f>5.35157038</f>
        <v>5.3515703800000001</v>
      </c>
      <c r="F626" s="1">
        <v>9</v>
      </c>
      <c r="G626" s="1">
        <v>9</v>
      </c>
      <c r="H626" s="5">
        <f t="shared" si="9"/>
        <v>513.67085217774843</v>
      </c>
    </row>
    <row r="627" spans="1:8" x14ac:dyDescent="0.2">
      <c r="A627" s="5">
        <f>514.17387</f>
        <v>514.17386999999997</v>
      </c>
      <c r="B627" s="3">
        <f>486000</f>
        <v>486000</v>
      </c>
      <c r="C627" s="1" t="s">
        <v>12</v>
      </c>
      <c r="D627" s="5">
        <f>2.42419831</f>
        <v>2.42419831</v>
      </c>
      <c r="E627" s="5">
        <f>4.83485507</f>
        <v>4.8348550699999997</v>
      </c>
      <c r="F627" s="1">
        <v>3</v>
      </c>
      <c r="G627" s="1">
        <v>3</v>
      </c>
      <c r="H627" s="5">
        <f t="shared" si="9"/>
        <v>513.89837193979588</v>
      </c>
    </row>
    <row r="628" spans="1:8" x14ac:dyDescent="0.2">
      <c r="A628" s="5">
        <f>514.29282</f>
        <v>514.29282000000001</v>
      </c>
      <c r="B628" s="3">
        <f>24000</f>
        <v>24000</v>
      </c>
      <c r="C628" s="1" t="s">
        <v>15</v>
      </c>
      <c r="D628" s="5">
        <f>0.95815732</f>
        <v>0.95815731999999998</v>
      </c>
      <c r="E628" s="5">
        <f>3.3682564</f>
        <v>3.3682563999999999</v>
      </c>
      <c r="F628" s="1">
        <v>7</v>
      </c>
      <c r="G628" s="1">
        <v>9</v>
      </c>
      <c r="H628" s="5">
        <f t="shared" si="9"/>
        <v>514.01728441374405</v>
      </c>
    </row>
    <row r="629" spans="1:8" x14ac:dyDescent="0.2">
      <c r="A629" s="5">
        <f>514.37234</f>
        <v>514.37234000000001</v>
      </c>
      <c r="B629" s="3">
        <f>7300</f>
        <v>7300</v>
      </c>
      <c r="C629" s="1" t="s">
        <v>10</v>
      </c>
      <c r="D629" s="5">
        <f>2.1978664</f>
        <v>2.1978664000000001</v>
      </c>
      <c r="E629" s="5">
        <f>4.60759327</f>
        <v>4.6075932699999997</v>
      </c>
      <c r="F629" s="1">
        <v>5</v>
      </c>
      <c r="G629" s="1">
        <v>7</v>
      </c>
      <c r="H629" s="5">
        <f t="shared" si="9"/>
        <v>514.09668028877604</v>
      </c>
    </row>
    <row r="630" spans="1:8" x14ac:dyDescent="0.2">
      <c r="A630" s="5">
        <f>514.50933</f>
        <v>514.50932999999998</v>
      </c>
      <c r="B630" s="3">
        <f>67000</f>
        <v>67000</v>
      </c>
      <c r="C630" s="1" t="s">
        <v>15</v>
      </c>
      <c r="D630" s="5">
        <f>2.1978664</f>
        <v>2.1978664000000001</v>
      </c>
      <c r="E630" s="5">
        <f>4.60695104</f>
        <v>4.6069510400000002</v>
      </c>
      <c r="F630" s="1">
        <v>5</v>
      </c>
      <c r="G630" s="1">
        <v>5</v>
      </c>
      <c r="H630" s="5">
        <f t="shared" si="9"/>
        <v>514.23373164243128</v>
      </c>
    </row>
    <row r="631" spans="1:8" x14ac:dyDescent="0.2">
      <c r="A631" s="5">
        <f>514.6306</f>
        <v>514.63059999999996</v>
      </c>
      <c r="B631" s="3">
        <f>270000</f>
        <v>270000</v>
      </c>
      <c r="C631" s="1" t="s">
        <v>10</v>
      </c>
      <c r="D631" s="5">
        <f>4.37135106</f>
        <v>4.3713510600000003</v>
      </c>
      <c r="E631" s="5">
        <f>6.77986785</f>
        <v>6.7798678499999996</v>
      </c>
      <c r="F631" s="1">
        <v>9</v>
      </c>
      <c r="G631" s="1">
        <v>9</v>
      </c>
      <c r="H631" s="5">
        <f t="shared" si="9"/>
        <v>514.35497124753829</v>
      </c>
    </row>
    <row r="632" spans="1:8" x14ac:dyDescent="0.2">
      <c r="A632" s="5">
        <f>515.08392</f>
        <v>515.08392000000003</v>
      </c>
      <c r="B632" s="3">
        <f>33000</f>
        <v>33000</v>
      </c>
      <c r="C632" s="1" t="s">
        <v>5</v>
      </c>
      <c r="D632" s="5">
        <f>0.99011115</f>
        <v>0.99011115000000005</v>
      </c>
      <c r="E632" s="5">
        <f>3.3965088</f>
        <v>3.3965087999999999</v>
      </c>
      <c r="F632" s="1">
        <v>5</v>
      </c>
      <c r="G632" s="1">
        <v>7</v>
      </c>
      <c r="H632" s="5">
        <f t="shared" si="9"/>
        <v>514.80792639141043</v>
      </c>
    </row>
    <row r="633" spans="1:8" x14ac:dyDescent="0.2">
      <c r="A633" s="5">
        <f>515.1911</f>
        <v>515.19110000000001</v>
      </c>
      <c r="B633" s="3">
        <f>23900</f>
        <v>23900</v>
      </c>
      <c r="C633" s="1" t="s">
        <v>11</v>
      </c>
      <c r="D633" s="5">
        <f>1.01105568</f>
        <v>1.0110556799999999</v>
      </c>
      <c r="E633" s="5">
        <f>3.41695281</f>
        <v>3.4169528100000002</v>
      </c>
      <c r="F633" s="1">
        <v>3</v>
      </c>
      <c r="G633" s="1">
        <v>5</v>
      </c>
      <c r="H633" s="5">
        <f t="shared" si="9"/>
        <v>514.9150264249505</v>
      </c>
    </row>
    <row r="634" spans="1:8" x14ac:dyDescent="0.2">
      <c r="A634" s="5">
        <f>516.45503</f>
        <v>516.45502999999997</v>
      </c>
      <c r="B634" s="3">
        <f>1600000</f>
        <v>1600000</v>
      </c>
      <c r="C634" s="1" t="s">
        <v>10</v>
      </c>
      <c r="D634" s="5">
        <f>4.43461275</f>
        <v>4.4346127500000003</v>
      </c>
      <c r="E634" s="5">
        <f>6.83462125</f>
        <v>6.8346212499999996</v>
      </c>
      <c r="F634" s="1">
        <v>9</v>
      </c>
      <c r="G634" s="1">
        <v>7</v>
      </c>
      <c r="H634" s="5">
        <f t="shared" si="9"/>
        <v>516.17841531380543</v>
      </c>
    </row>
    <row r="635" spans="1:8" x14ac:dyDescent="0.2">
      <c r="A635" s="5">
        <f>516.62819</f>
        <v>516.62819000000002</v>
      </c>
      <c r="B635" s="3">
        <f>1450</f>
        <v>1450</v>
      </c>
      <c r="C635" s="1" t="s">
        <v>11</v>
      </c>
      <c r="D635" s="5">
        <f>0</f>
        <v>0</v>
      </c>
      <c r="E635" s="5">
        <f>2.39920471</f>
        <v>2.3992047099999998</v>
      </c>
      <c r="F635" s="1">
        <v>9</v>
      </c>
      <c r="G635" s="1">
        <v>11</v>
      </c>
      <c r="H635" s="5">
        <f t="shared" si="9"/>
        <v>516.35134722191469</v>
      </c>
    </row>
    <row r="636" spans="1:8" x14ac:dyDescent="0.2">
      <c r="A636" s="5">
        <f>516.74881</f>
        <v>516.74881000000005</v>
      </c>
      <c r="B636" s="3">
        <f>2720000</f>
        <v>2720000</v>
      </c>
      <c r="C636" s="1" t="s">
        <v>14</v>
      </c>
      <c r="D636" s="5">
        <f>1.48486439</f>
        <v>1.48486439</v>
      </c>
      <c r="E636" s="5">
        <f>3.88350907</f>
        <v>3.8835090700000001</v>
      </c>
      <c r="F636" s="1">
        <v>9</v>
      </c>
      <c r="G636" s="1">
        <v>7</v>
      </c>
      <c r="H636" s="5">
        <f t="shared" si="9"/>
        <v>516.4719037375985</v>
      </c>
    </row>
    <row r="637" spans="1:8" x14ac:dyDescent="0.2">
      <c r="A637" s="5">
        <f>516.88978</f>
        <v>516.88977999999997</v>
      </c>
      <c r="B637" s="3">
        <f>3830</f>
        <v>3830</v>
      </c>
      <c r="C637" s="1" t="s">
        <v>11</v>
      </c>
      <c r="D637" s="5">
        <f>0.05156912</f>
        <v>5.1569120000000003E-2</v>
      </c>
      <c r="E637" s="5">
        <f>2.44955978</f>
        <v>2.44955978</v>
      </c>
      <c r="F637" s="1">
        <v>7</v>
      </c>
      <c r="G637" s="1">
        <v>7</v>
      </c>
      <c r="H637" s="5">
        <f t="shared" si="9"/>
        <v>516.61276456750795</v>
      </c>
    </row>
    <row r="638" spans="1:8" x14ac:dyDescent="0.2">
      <c r="A638" s="5">
        <f>517.1596</f>
        <v>517.15959999999995</v>
      </c>
      <c r="B638" s="3">
        <f>446000</f>
        <v>446000</v>
      </c>
      <c r="C638" s="1" t="s">
        <v>11</v>
      </c>
      <c r="D638" s="5">
        <f>1.48486439</f>
        <v>1.48486439</v>
      </c>
      <c r="E638" s="5">
        <f>3.88160368</f>
        <v>3.88160368</v>
      </c>
      <c r="F638" s="1">
        <v>9</v>
      </c>
      <c r="G638" s="1">
        <v>9</v>
      </c>
      <c r="H638" s="5">
        <f t="shared" si="9"/>
        <v>516.88249507924706</v>
      </c>
    </row>
    <row r="639" spans="1:8" x14ac:dyDescent="0.2">
      <c r="A639" s="5">
        <f>517.72337</f>
        <v>517.72337000000005</v>
      </c>
      <c r="B639" s="3">
        <f>120000</f>
        <v>120000</v>
      </c>
      <c r="C639" s="1" t="s">
        <v>10</v>
      </c>
      <c r="D639" s="5">
        <f>3.69459719</f>
        <v>3.6945971900000001</v>
      </c>
      <c r="E639" s="5">
        <f>6.08872711</f>
        <v>6.0887271099999998</v>
      </c>
      <c r="F639" s="1">
        <v>9</v>
      </c>
      <c r="G639" s="1">
        <v>9</v>
      </c>
      <c r="H639" s="5">
        <f t="shared" si="9"/>
        <v>517.44584699466225</v>
      </c>
    </row>
    <row r="640" spans="1:8" x14ac:dyDescent="0.2">
      <c r="A640" s="5">
        <f>517.88002</f>
        <v>517.88001999999994</v>
      </c>
      <c r="B640" s="3">
        <f>420000</f>
        <v>420000</v>
      </c>
      <c r="C640" s="1" t="s">
        <v>10</v>
      </c>
      <c r="D640" s="5">
        <f>4.38646275</f>
        <v>4.3864627499999997</v>
      </c>
      <c r="E640" s="5">
        <f>6.77986785</f>
        <v>6.7798678499999996</v>
      </c>
      <c r="F640" s="1">
        <v>11</v>
      </c>
      <c r="G640" s="1">
        <v>9</v>
      </c>
      <c r="H640" s="5">
        <f t="shared" si="9"/>
        <v>517.6025505542973</v>
      </c>
    </row>
    <row r="641" spans="1:8" x14ac:dyDescent="0.2">
      <c r="A641" s="5">
        <f>518.42657</f>
        <v>518.42656999999997</v>
      </c>
      <c r="B641" s="3">
        <f>3800000</f>
        <v>3800000</v>
      </c>
      <c r="C641" s="1" t="s">
        <v>12</v>
      </c>
      <c r="D641" s="5">
        <f>4.28330826</f>
        <v>4.2833082600000001</v>
      </c>
      <c r="E641" s="5">
        <f>6.67419029</f>
        <v>6.6741902900000003</v>
      </c>
      <c r="F641" s="1">
        <v>5</v>
      </c>
      <c r="G641" s="1">
        <v>7</v>
      </c>
      <c r="H641" s="5">
        <f t="shared" si="9"/>
        <v>518.14877050611437</v>
      </c>
    </row>
    <row r="642" spans="1:8" x14ac:dyDescent="0.2">
      <c r="A642" s="5">
        <f>518.79138</f>
        <v>518.79138</v>
      </c>
      <c r="B642" s="3">
        <f>2110000</f>
        <v>2110000</v>
      </c>
      <c r="C642" s="1" t="s">
        <v>6</v>
      </c>
      <c r="D642" s="5">
        <f>4.14264893</f>
        <v>4.14264893</v>
      </c>
      <c r="E642" s="5">
        <f>6.53184961</f>
        <v>6.5318496100000001</v>
      </c>
      <c r="F642" s="1">
        <v>7</v>
      </c>
      <c r="G642" s="1">
        <v>5</v>
      </c>
      <c r="H642" s="5">
        <f t="shared" si="9"/>
        <v>518.51340686445099</v>
      </c>
    </row>
    <row r="643" spans="1:8" x14ac:dyDescent="0.2">
      <c r="A643" s="5">
        <f>519.14546</f>
        <v>519.14545999999996</v>
      </c>
      <c r="B643" s="3">
        <f>23200000</f>
        <v>23200000</v>
      </c>
      <c r="C643" s="1" t="s">
        <v>13</v>
      </c>
      <c r="D643" s="5">
        <f>3.03847046</f>
        <v>3.0384704600000001</v>
      </c>
      <c r="E643" s="5">
        <f>5.42604198</f>
        <v>5.4260419799999999</v>
      </c>
      <c r="F643" s="1">
        <v>5</v>
      </c>
      <c r="G643" s="1">
        <v>3</v>
      </c>
      <c r="H643" s="5">
        <f t="shared" ref="H643:H706" si="10">$J$2*$J$1/((E643-D643)*$J$3)*1000000000</f>
        <v>518.86721461213563</v>
      </c>
    </row>
    <row r="644" spans="1:8" x14ac:dyDescent="0.2">
      <c r="A644" s="5">
        <f>519.23439</f>
        <v>519.23438999999996</v>
      </c>
      <c r="B644" s="3">
        <f>13400000</f>
        <v>13400000</v>
      </c>
      <c r="C644" s="1" t="s">
        <v>14</v>
      </c>
      <c r="D644" s="5">
        <f>2.99804479</f>
        <v>2.9980447899999998</v>
      </c>
      <c r="E644" s="5">
        <f>5.38520741</f>
        <v>5.3852074099999996</v>
      </c>
      <c r="F644" s="1">
        <v>7</v>
      </c>
      <c r="G644" s="1">
        <v>7</v>
      </c>
      <c r="H644" s="5">
        <f t="shared" si="10"/>
        <v>518.95609201088405</v>
      </c>
    </row>
    <row r="645" spans="1:8" x14ac:dyDescent="0.2">
      <c r="A645" s="5">
        <f>519.49414</f>
        <v>519.49414000000002</v>
      </c>
      <c r="B645" s="3">
        <f>287000</f>
        <v>287000</v>
      </c>
      <c r="C645" s="1" t="s">
        <v>11</v>
      </c>
      <c r="D645" s="5">
        <f>1.55735733</f>
        <v>1.5573573300000001</v>
      </c>
      <c r="E645" s="5">
        <f>3.94332623</f>
        <v>3.9433262299999998</v>
      </c>
      <c r="F645" s="1">
        <v>7</v>
      </c>
      <c r="G645" s="1">
        <v>7</v>
      </c>
      <c r="H645" s="5">
        <f t="shared" si="10"/>
        <v>519.21573004143647</v>
      </c>
    </row>
    <row r="646" spans="1:8" x14ac:dyDescent="0.2">
      <c r="A646" s="5">
        <f>519.79369</f>
        <v>519.79368999999997</v>
      </c>
      <c r="B646" s="3">
        <f>2000000</f>
        <v>2000000</v>
      </c>
      <c r="C646" s="1" t="s">
        <v>10</v>
      </c>
      <c r="D646" s="5">
        <f>4.30127816</f>
        <v>4.3012781599999999</v>
      </c>
      <c r="E646" s="5">
        <f>6.6858727</f>
        <v>6.6858727</v>
      </c>
      <c r="F646" s="1">
        <v>3</v>
      </c>
      <c r="G646" s="1">
        <v>3</v>
      </c>
      <c r="H646" s="5">
        <f t="shared" si="10"/>
        <v>519.51497979596263</v>
      </c>
    </row>
    <row r="647" spans="1:8" x14ac:dyDescent="0.2">
      <c r="A647" s="5">
        <f>519.87108</f>
        <v>519.87108000000001</v>
      </c>
      <c r="B647" s="3">
        <f>362000</f>
        <v>362000</v>
      </c>
      <c r="C647" s="1" t="s">
        <v>13</v>
      </c>
      <c r="D647" s="5">
        <f>2.22271209</f>
        <v>2.2227120899999999</v>
      </c>
      <c r="E647" s="5">
        <f>4.60695104</f>
        <v>4.6069510400000002</v>
      </c>
      <c r="F647" s="1">
        <v>3</v>
      </c>
      <c r="G647" s="1">
        <v>5</v>
      </c>
      <c r="H647" s="5">
        <f t="shared" si="10"/>
        <v>519.59246126302173</v>
      </c>
    </row>
    <row r="648" spans="1:8" x14ac:dyDescent="0.2">
      <c r="A648" s="5">
        <f>520.23357</f>
        <v>520.23356999999999</v>
      </c>
      <c r="B648" s="3">
        <f>511000</f>
        <v>511000</v>
      </c>
      <c r="C648" s="1" t="s">
        <v>13</v>
      </c>
      <c r="D648" s="5">
        <f>2.17594512</f>
        <v>2.1759451200000002</v>
      </c>
      <c r="E648" s="5">
        <f>4.55852281</f>
        <v>4.5585228100000004</v>
      </c>
      <c r="F648" s="1">
        <v>7</v>
      </c>
      <c r="G648" s="1">
        <v>7</v>
      </c>
      <c r="H648" s="5">
        <f t="shared" si="10"/>
        <v>519.95474878708478</v>
      </c>
    </row>
    <row r="649" spans="1:8" x14ac:dyDescent="0.2">
      <c r="A649" s="5">
        <f>520.45823</f>
        <v>520.45822999999996</v>
      </c>
      <c r="B649" s="3">
        <f>2290</f>
        <v>2290</v>
      </c>
      <c r="C649" s="1" t="s">
        <v>11</v>
      </c>
      <c r="D649" s="5">
        <f>0.08728574</f>
        <v>8.7285740000000001E-2</v>
      </c>
      <c r="E649" s="5">
        <f>2.46883473</f>
        <v>2.4688347300000002</v>
      </c>
      <c r="F649" s="1">
        <v>5</v>
      </c>
      <c r="G649" s="1">
        <v>5</v>
      </c>
      <c r="H649" s="5">
        <f t="shared" si="10"/>
        <v>520.17934103873415</v>
      </c>
    </row>
    <row r="650" spans="1:8" x14ac:dyDescent="0.2">
      <c r="A650" s="5">
        <f>520.79372</f>
        <v>520.79372000000001</v>
      </c>
      <c r="B650" s="3">
        <f>320000</f>
        <v>320000</v>
      </c>
      <c r="C650" s="1" t="s">
        <v>10</v>
      </c>
      <c r="D650" s="5">
        <f>3.63521992</f>
        <v>3.6352199199999999</v>
      </c>
      <c r="E650" s="5">
        <f>6.01523448</f>
        <v>6.0152344800000002</v>
      </c>
      <c r="F650" s="1">
        <v>3</v>
      </c>
      <c r="G650" s="1">
        <v>3</v>
      </c>
      <c r="H650" s="5">
        <f t="shared" si="10"/>
        <v>520.51470822500471</v>
      </c>
    </row>
    <row r="651" spans="1:8" x14ac:dyDescent="0.2">
      <c r="A651" s="5">
        <f>520.85936</f>
        <v>520.85936000000004</v>
      </c>
      <c r="B651" s="3">
        <f>6230000</f>
        <v>6230000</v>
      </c>
      <c r="C651" s="1" t="s">
        <v>13</v>
      </c>
      <c r="D651" s="5">
        <f>3.24096914</f>
        <v>3.2409691399999998</v>
      </c>
      <c r="E651" s="5">
        <f>5.62068415</f>
        <v>5.6206841499999998</v>
      </c>
      <c r="F651" s="1">
        <v>7</v>
      </c>
      <c r="G651" s="1">
        <v>5</v>
      </c>
      <c r="H651" s="5">
        <f t="shared" si="10"/>
        <v>520.58022875170377</v>
      </c>
    </row>
    <row r="652" spans="1:8" x14ac:dyDescent="0.2">
      <c r="A652" s="5">
        <f>521.51803</f>
        <v>521.51802999999995</v>
      </c>
      <c r="B652" s="3">
        <f>11000000</f>
        <v>11000000</v>
      </c>
      <c r="C652" s="1" t="s">
        <v>13</v>
      </c>
      <c r="D652" s="5">
        <f>3.2657061</f>
        <v>3.2657061000000001</v>
      </c>
      <c r="E652" s="5">
        <f>5.64241573</f>
        <v>5.6424157299999997</v>
      </c>
      <c r="F652" s="1">
        <v>5</v>
      </c>
      <c r="G652" s="1">
        <v>3</v>
      </c>
      <c r="H652" s="5">
        <f t="shared" si="10"/>
        <v>521.23850916936078</v>
      </c>
    </row>
    <row r="653" spans="1:8" x14ac:dyDescent="0.2">
      <c r="A653" s="5">
        <f>521.62737</f>
        <v>521.62737000000004</v>
      </c>
      <c r="B653" s="3">
        <f>347000</f>
        <v>347000</v>
      </c>
      <c r="C653" s="1" t="s">
        <v>11</v>
      </c>
      <c r="D653" s="5">
        <f>1.60789577</f>
        <v>1.6078957700000001</v>
      </c>
      <c r="E653" s="5">
        <f>3.98410712</f>
        <v>3.98410712</v>
      </c>
      <c r="F653" s="1">
        <v>5</v>
      </c>
      <c r="G653" s="1">
        <v>5</v>
      </c>
      <c r="H653" s="5">
        <f t="shared" si="10"/>
        <v>521.34781035772039</v>
      </c>
    </row>
    <row r="654" spans="1:8" x14ac:dyDescent="0.2">
      <c r="A654" s="5">
        <f>521.7389</f>
        <v>521.73889999999994</v>
      </c>
      <c r="B654" s="3">
        <f>2410000</f>
        <v>2410000</v>
      </c>
      <c r="C654" s="1" t="s">
        <v>13</v>
      </c>
      <c r="D654" s="5">
        <f>3.21118938</f>
        <v>3.21118938</v>
      </c>
      <c r="E654" s="5">
        <f>5.58689276</f>
        <v>5.5868927599999996</v>
      </c>
      <c r="F654" s="1">
        <v>9</v>
      </c>
      <c r="G654" s="1">
        <v>7</v>
      </c>
      <c r="H654" s="5">
        <f t="shared" si="10"/>
        <v>521.45928431084826</v>
      </c>
    </row>
    <row r="655" spans="1:8" x14ac:dyDescent="0.2">
      <c r="A655" s="5">
        <f>521.79189</f>
        <v>521.79188999999997</v>
      </c>
      <c r="B655" s="3">
        <f>1560000</f>
        <v>1560000</v>
      </c>
      <c r="C655" s="1" t="s">
        <v>6</v>
      </c>
      <c r="D655" s="5">
        <f>3.63977237</f>
        <v>3.6397723700000002</v>
      </c>
      <c r="E655" s="5">
        <f>6.01523448</f>
        <v>6.0152344800000002</v>
      </c>
      <c r="F655" s="1">
        <v>5</v>
      </c>
      <c r="G655" s="1">
        <v>3</v>
      </c>
      <c r="H655" s="5">
        <f t="shared" si="10"/>
        <v>521.51224768205759</v>
      </c>
    </row>
    <row r="656" spans="1:8" x14ac:dyDescent="0.2">
      <c r="A656" s="5">
        <f>522.31851</f>
        <v>522.31850999999995</v>
      </c>
      <c r="B656" s="3">
        <f>4030000</f>
        <v>4030000</v>
      </c>
      <c r="C656" s="1" t="s">
        <v>6</v>
      </c>
      <c r="D656" s="5">
        <f>3.63521992</f>
        <v>3.6352199199999999</v>
      </c>
      <c r="E656" s="5">
        <f>6.00828827</f>
        <v>6.0082882700000004</v>
      </c>
      <c r="F656" s="1">
        <v>3</v>
      </c>
      <c r="G656" s="1">
        <v>1</v>
      </c>
      <c r="H656" s="5">
        <f t="shared" si="10"/>
        <v>522.03830718557379</v>
      </c>
    </row>
    <row r="657" spans="1:8" x14ac:dyDescent="0.2">
      <c r="A657" s="5">
        <f>522.4298</f>
        <v>522.4298</v>
      </c>
      <c r="B657" s="3">
        <f>2800</f>
        <v>2800</v>
      </c>
      <c r="C657" s="1" t="s">
        <v>10</v>
      </c>
      <c r="D657" s="5">
        <f>2.17594512</f>
        <v>2.1759451200000002</v>
      </c>
      <c r="E657" s="5">
        <f>4.54850612</f>
        <v>4.5485061199999999</v>
      </c>
      <c r="F657" s="1">
        <v>7</v>
      </c>
      <c r="G657" s="1">
        <v>9</v>
      </c>
      <c r="H657" s="5">
        <f t="shared" si="10"/>
        <v>522.14994019949881</v>
      </c>
    </row>
    <row r="658" spans="1:8" x14ac:dyDescent="0.2">
      <c r="A658" s="5">
        <f>522.55257</f>
        <v>522.55256999999995</v>
      </c>
      <c r="B658" s="3">
        <f>1320</f>
        <v>1320</v>
      </c>
      <c r="C658" s="1" t="s">
        <v>11</v>
      </c>
      <c r="D658" s="5">
        <f>0.11011433</f>
        <v>0.11011433</v>
      </c>
      <c r="E658" s="5">
        <f>2.4821184</f>
        <v>2.4821184000000001</v>
      </c>
      <c r="F658" s="1">
        <v>3</v>
      </c>
      <c r="G658" s="1">
        <v>3</v>
      </c>
      <c r="H658" s="5">
        <f t="shared" si="10"/>
        <v>522.2725373610607</v>
      </c>
    </row>
    <row r="659" spans="1:8" x14ac:dyDescent="0.2">
      <c r="A659" s="5">
        <f>522.6862</f>
        <v>522.68619999999999</v>
      </c>
      <c r="B659" s="3">
        <f>13600000</f>
        <v>13600000</v>
      </c>
      <c r="C659" s="1" t="s">
        <v>13</v>
      </c>
      <c r="D659" s="5">
        <f>3.03847046</f>
        <v>3.0384704600000001</v>
      </c>
      <c r="E659" s="5">
        <f>5.40986861</f>
        <v>5.4098686100000002</v>
      </c>
      <c r="F659" s="1">
        <v>5</v>
      </c>
      <c r="G659" s="1">
        <v>5</v>
      </c>
      <c r="H659" s="5">
        <f t="shared" si="10"/>
        <v>522.4059841109613</v>
      </c>
    </row>
    <row r="660" spans="1:8" x14ac:dyDescent="0.2">
      <c r="A660" s="5">
        <f>522.71891</f>
        <v>522.71891000000005</v>
      </c>
      <c r="B660" s="3">
        <f>2890000</f>
        <v>2890000</v>
      </c>
      <c r="C660" s="1" t="s">
        <v>14</v>
      </c>
      <c r="D660" s="5">
        <f>1.55735733</f>
        <v>1.5573573300000001</v>
      </c>
      <c r="E660" s="5">
        <f>3.92860683</f>
        <v>3.9286068300000001</v>
      </c>
      <c r="F660" s="1">
        <v>7</v>
      </c>
      <c r="G660" s="1">
        <v>5</v>
      </c>
      <c r="H660" s="5">
        <f t="shared" si="10"/>
        <v>522.43873294213154</v>
      </c>
    </row>
    <row r="661" spans="1:8" x14ac:dyDescent="0.2">
      <c r="A661" s="5">
        <f>522.83764</f>
        <v>522.83763999999996</v>
      </c>
      <c r="B661" s="3">
        <f>1900000</f>
        <v>1900000</v>
      </c>
      <c r="C661" s="1" t="s">
        <v>10</v>
      </c>
      <c r="D661" s="5">
        <f>4.22036211</f>
        <v>4.2203621099999999</v>
      </c>
      <c r="E661" s="5">
        <f>6.59107351</f>
        <v>6.5910735100000002</v>
      </c>
      <c r="F661" s="1">
        <v>9</v>
      </c>
      <c r="G661" s="1">
        <v>7</v>
      </c>
      <c r="H661" s="5">
        <f t="shared" si="10"/>
        <v>522.55731518803293</v>
      </c>
    </row>
    <row r="662" spans="1:8" x14ac:dyDescent="0.2">
      <c r="A662" s="5">
        <f>523.294</f>
        <v>523.29399999999998</v>
      </c>
      <c r="B662" s="3">
        <f>19400000</f>
        <v>19400000</v>
      </c>
      <c r="C662" s="1" t="s">
        <v>14</v>
      </c>
      <c r="D662" s="5">
        <f>2.93984587</f>
        <v>2.9398458700000001</v>
      </c>
      <c r="E662" s="5">
        <f>5.30848946</f>
        <v>5.3084894599999997</v>
      </c>
      <c r="F662" s="1">
        <v>9</v>
      </c>
      <c r="G662" s="1">
        <v>11</v>
      </c>
      <c r="H662" s="5">
        <f t="shared" si="10"/>
        <v>523.01350422655321</v>
      </c>
    </row>
    <row r="663" spans="1:8" x14ac:dyDescent="0.2">
      <c r="A663" s="5">
        <f>523.53864</f>
        <v>523.53863999999999</v>
      </c>
      <c r="B663" s="3">
        <f>3750000</f>
        <v>3750000</v>
      </c>
      <c r="C663" s="1" t="s">
        <v>15</v>
      </c>
      <c r="D663" s="5">
        <f>4.07581091</f>
        <v>4.0758109100000004</v>
      </c>
      <c r="E663" s="5">
        <f>6.44334733</f>
        <v>6.4433473299999999</v>
      </c>
      <c r="F663" s="1">
        <v>9</v>
      </c>
      <c r="G663" s="1">
        <v>7</v>
      </c>
      <c r="H663" s="5">
        <f t="shared" si="10"/>
        <v>523.25808963465192</v>
      </c>
    </row>
    <row r="664" spans="1:8" x14ac:dyDescent="0.2">
      <c r="A664" s="5">
        <f>523.62038</f>
        <v>523.62037999999995</v>
      </c>
      <c r="B664" s="3">
        <f>2580000</f>
        <v>2580000</v>
      </c>
      <c r="C664" s="1" t="s">
        <v>5</v>
      </c>
      <c r="D664" s="5">
        <f>4.1863644</f>
        <v>4.1863644000000004</v>
      </c>
      <c r="E664" s="5">
        <f>6.55353246</f>
        <v>6.5535324599999996</v>
      </c>
      <c r="F664" s="1">
        <v>5</v>
      </c>
      <c r="G664" s="1">
        <v>3</v>
      </c>
      <c r="H664" s="5">
        <f t="shared" si="10"/>
        <v>523.33951492639835</v>
      </c>
    </row>
    <row r="665" spans="1:8" x14ac:dyDescent="0.2">
      <c r="A665" s="5">
        <f>524.24907</f>
        <v>524.24906999999996</v>
      </c>
      <c r="B665" s="3">
        <f>2380000</f>
        <v>2380000</v>
      </c>
      <c r="C665" s="1" t="s">
        <v>13</v>
      </c>
      <c r="D665" s="5">
        <f>3.6343498</f>
        <v>3.6343497999999999</v>
      </c>
      <c r="E665" s="5">
        <f>5.99867825</f>
        <v>5.9986782500000002</v>
      </c>
      <c r="F665" s="1">
        <v>13</v>
      </c>
      <c r="G665" s="1">
        <v>11</v>
      </c>
      <c r="H665" s="5">
        <f t="shared" si="10"/>
        <v>523.96805709023329</v>
      </c>
    </row>
    <row r="666" spans="1:8" x14ac:dyDescent="0.2">
      <c r="A666" s="5">
        <f>524.37766</f>
        <v>524.37765999999999</v>
      </c>
      <c r="B666" s="3">
        <f>2000000</f>
        <v>2000000</v>
      </c>
      <c r="C666" s="1" t="s">
        <v>12</v>
      </c>
      <c r="D666" s="5">
        <f>4.2562228</f>
        <v>4.2562227999999998</v>
      </c>
      <c r="E666" s="5">
        <f>6.61997175</f>
        <v>6.6199717500000004</v>
      </c>
      <c r="F666" s="1">
        <v>7</v>
      </c>
      <c r="G666" s="1">
        <v>9</v>
      </c>
      <c r="H666" s="5">
        <f t="shared" si="10"/>
        <v>524.09651383225901</v>
      </c>
    </row>
    <row r="667" spans="1:8" x14ac:dyDescent="0.2">
      <c r="A667" s="5">
        <f>524.70501</f>
        <v>524.70501000000002</v>
      </c>
      <c r="B667" s="3">
        <f>392</f>
        <v>392</v>
      </c>
      <c r="C667" s="1" t="s">
        <v>11</v>
      </c>
      <c r="D667" s="5">
        <f>0.08728574</f>
        <v>8.7285740000000001E-2</v>
      </c>
      <c r="E667" s="5">
        <f>2.44955978</f>
        <v>2.44955978</v>
      </c>
      <c r="F667" s="1">
        <v>5</v>
      </c>
      <c r="G667" s="1">
        <v>7</v>
      </c>
      <c r="H667" s="5">
        <f t="shared" si="10"/>
        <v>524.42373886040036</v>
      </c>
    </row>
    <row r="668" spans="1:8" x14ac:dyDescent="0.2">
      <c r="A668" s="5">
        <f>524.91051</f>
        <v>524.91051000000004</v>
      </c>
      <c r="B668" s="3">
        <f>1200000</f>
        <v>1200000</v>
      </c>
      <c r="C668" s="1" t="s">
        <v>10</v>
      </c>
      <c r="D668" s="5">
        <f>4.47327202</f>
        <v>4.4732720199999996</v>
      </c>
      <c r="E668" s="5">
        <f>6.83462125</f>
        <v>6.8346212499999996</v>
      </c>
      <c r="F668" s="1">
        <v>7</v>
      </c>
      <c r="G668" s="1">
        <v>7</v>
      </c>
      <c r="H668" s="5">
        <f t="shared" si="10"/>
        <v>524.62912665809415</v>
      </c>
    </row>
    <row r="669" spans="1:8" x14ac:dyDescent="0.2">
      <c r="A669" s="5">
        <f>525.02086</f>
        <v>525.02085999999997</v>
      </c>
      <c r="B669" s="3">
        <f>930</f>
        <v>930</v>
      </c>
      <c r="C669" s="1" t="s">
        <v>11</v>
      </c>
      <c r="D669" s="5">
        <f>0.12126572</f>
        <v>0.12126571999999999</v>
      </c>
      <c r="E669" s="5">
        <f>2.4821184</f>
        <v>2.4821184000000001</v>
      </c>
      <c r="F669" s="1">
        <v>1</v>
      </c>
      <c r="G669" s="1">
        <v>3</v>
      </c>
      <c r="H669" s="5">
        <f t="shared" si="10"/>
        <v>524.73947009250185</v>
      </c>
    </row>
    <row r="670" spans="1:8" x14ac:dyDescent="0.2">
      <c r="A670" s="5">
        <f>525.06456</f>
        <v>525.06456000000003</v>
      </c>
      <c r="B670" s="3">
        <f>228000</f>
        <v>228000</v>
      </c>
      <c r="C670" s="1" t="s">
        <v>15</v>
      </c>
      <c r="D670" s="5">
        <f>2.1978664</f>
        <v>2.1978664000000001</v>
      </c>
      <c r="E670" s="5">
        <f>4.55852281</f>
        <v>4.5585228100000004</v>
      </c>
      <c r="F670" s="1">
        <v>5</v>
      </c>
      <c r="G670" s="1">
        <v>7</v>
      </c>
      <c r="H670" s="5">
        <f t="shared" si="10"/>
        <v>524.78309804926789</v>
      </c>
    </row>
    <row r="671" spans="1:8" x14ac:dyDescent="0.2">
      <c r="A671" s="5">
        <f>525.34614</f>
        <v>525.34613999999999</v>
      </c>
      <c r="B671" s="3">
        <f>2150000</f>
        <v>2150000</v>
      </c>
      <c r="C671" s="1" t="s">
        <v>13</v>
      </c>
      <c r="D671" s="5">
        <f>3.28302483</f>
        <v>3.28302483</v>
      </c>
      <c r="E671" s="5">
        <f>5.64241573</f>
        <v>5.6424157299999997</v>
      </c>
      <c r="F671" s="1">
        <v>3</v>
      </c>
      <c r="G671" s="1">
        <v>3</v>
      </c>
      <c r="H671" s="5">
        <f t="shared" si="10"/>
        <v>525.06457673870955</v>
      </c>
    </row>
    <row r="672" spans="1:8" x14ac:dyDescent="0.2">
      <c r="A672" s="5">
        <f>525.49551</f>
        <v>525.49550999999997</v>
      </c>
      <c r="B672" s="3">
        <f>831</f>
        <v>831</v>
      </c>
      <c r="C672" s="1" t="s">
        <v>11</v>
      </c>
      <c r="D672" s="5">
        <f>0.11011433</f>
        <v>0.11011433</v>
      </c>
      <c r="E672" s="5">
        <f>2.46883473</f>
        <v>2.4688347300000002</v>
      </c>
      <c r="F672" s="1">
        <v>3</v>
      </c>
      <c r="G672" s="1">
        <v>5</v>
      </c>
      <c r="H672" s="5">
        <f t="shared" si="10"/>
        <v>525.21383385231366</v>
      </c>
    </row>
    <row r="673" spans="1:8" x14ac:dyDescent="0.2">
      <c r="A673" s="5">
        <f>526.28806</f>
        <v>526.28805999999997</v>
      </c>
      <c r="B673" s="3">
        <f>87000</f>
        <v>87000</v>
      </c>
      <c r="C673" s="1" t="s">
        <v>10</v>
      </c>
      <c r="D673" s="5">
        <f>3.25148176</f>
        <v>3.2514817599999999</v>
      </c>
      <c r="E673" s="5">
        <f>5.60664989</f>
        <v>5.6066498899999999</v>
      </c>
      <c r="F673" s="1">
        <v>7</v>
      </c>
      <c r="G673" s="1">
        <v>7</v>
      </c>
      <c r="H673" s="5">
        <f t="shared" si="10"/>
        <v>526.00600716759141</v>
      </c>
    </row>
    <row r="674" spans="1:8" x14ac:dyDescent="0.2">
      <c r="A674" s="5">
        <f>526.33059</f>
        <v>526.33059000000003</v>
      </c>
      <c r="B674" s="3">
        <f>6360000</f>
        <v>6360000</v>
      </c>
      <c r="C674" s="1" t="s">
        <v>13</v>
      </c>
      <c r="D674" s="5">
        <f>3.2657061</f>
        <v>3.2657061000000001</v>
      </c>
      <c r="E674" s="5">
        <f>5.62068415</f>
        <v>5.6206841499999998</v>
      </c>
      <c r="F674" s="1">
        <v>5</v>
      </c>
      <c r="G674" s="1">
        <v>5</v>
      </c>
      <c r="H674" s="5">
        <f t="shared" si="10"/>
        <v>526.0484632838353</v>
      </c>
    </row>
    <row r="675" spans="1:8" x14ac:dyDescent="0.2">
      <c r="A675" s="5">
        <f>526.38646</f>
        <v>526.38646000000006</v>
      </c>
      <c r="B675" s="3">
        <f>196000</f>
        <v>196000</v>
      </c>
      <c r="C675" s="1" t="s">
        <v>5</v>
      </c>
      <c r="D675" s="5">
        <f>3.5732189</f>
        <v>3.5732189000000001</v>
      </c>
      <c r="E675" s="5">
        <f>5.92794713</f>
        <v>5.9279471299999997</v>
      </c>
      <c r="F675" s="1">
        <v>11</v>
      </c>
      <c r="G675" s="1">
        <v>9</v>
      </c>
      <c r="H675" s="5">
        <f t="shared" si="10"/>
        <v>526.10427330276798</v>
      </c>
    </row>
    <row r="676" spans="1:8" x14ac:dyDescent="0.2">
      <c r="A676" s="5">
        <f>526.6555</f>
        <v>526.65549999999996</v>
      </c>
      <c r="B676" s="3">
        <f>11000000</f>
        <v>11000000</v>
      </c>
      <c r="C676" s="1" t="s">
        <v>13</v>
      </c>
      <c r="D676" s="5">
        <f>2.99804479</f>
        <v>2.9980447899999998</v>
      </c>
      <c r="E676" s="5">
        <f>5.35157038</f>
        <v>5.3515703800000001</v>
      </c>
      <c r="F676" s="1">
        <v>7</v>
      </c>
      <c r="G676" s="1">
        <v>9</v>
      </c>
      <c r="H676" s="5">
        <f t="shared" si="10"/>
        <v>526.37310999863087</v>
      </c>
    </row>
    <row r="677" spans="1:8" x14ac:dyDescent="0.2">
      <c r="A677" s="5">
        <f>526.727</f>
        <v>526.72699999999998</v>
      </c>
      <c r="B677" s="3">
        <f>677000</f>
        <v>677000</v>
      </c>
      <c r="C677" s="1" t="s">
        <v>6</v>
      </c>
      <c r="D677" s="5">
        <f>4.37135106</f>
        <v>4.3713510600000003</v>
      </c>
      <c r="E677" s="5">
        <f>6.72455738</f>
        <v>6.7245573800000003</v>
      </c>
      <c r="F677" s="1">
        <v>9</v>
      </c>
      <c r="G677" s="1">
        <v>9</v>
      </c>
      <c r="H677" s="5">
        <f t="shared" si="10"/>
        <v>526.44452538681912</v>
      </c>
    </row>
    <row r="678" spans="1:8" x14ac:dyDescent="0.2">
      <c r="A678" s="5">
        <f>526.9537</f>
        <v>526.95370000000003</v>
      </c>
      <c r="B678" s="3">
        <f>1270000</f>
        <v>1270000</v>
      </c>
      <c r="C678" s="1" t="s">
        <v>11</v>
      </c>
      <c r="D678" s="5">
        <f>0.85899575</f>
        <v>0.85899574999999995</v>
      </c>
      <c r="E678" s="5">
        <f>3.21118938</f>
        <v>3.21118938</v>
      </c>
      <c r="F678" s="1">
        <v>11</v>
      </c>
      <c r="G678" s="1">
        <v>9</v>
      </c>
      <c r="H678" s="5">
        <f t="shared" si="10"/>
        <v>526.67117556544997</v>
      </c>
    </row>
    <row r="679" spans="1:8" x14ac:dyDescent="0.2">
      <c r="A679" s="5">
        <f>527.0356</f>
        <v>527.03560000000004</v>
      </c>
      <c r="B679" s="3">
        <f>3670000</f>
        <v>3670000</v>
      </c>
      <c r="C679" s="1" t="s">
        <v>14</v>
      </c>
      <c r="D679" s="5">
        <f>1.60789577</f>
        <v>1.6078957700000001</v>
      </c>
      <c r="E679" s="5">
        <f>3.95972364</f>
        <v>3.95972364</v>
      </c>
      <c r="F679" s="1">
        <v>5</v>
      </c>
      <c r="G679" s="1">
        <v>3</v>
      </c>
      <c r="H679" s="5">
        <f t="shared" si="10"/>
        <v>526.75308430189784</v>
      </c>
    </row>
    <row r="680" spans="1:8" x14ac:dyDescent="0.2">
      <c r="A680" s="5">
        <f>527.31632</f>
        <v>527.31632000000002</v>
      </c>
      <c r="B680" s="3">
        <f>8120000</f>
        <v>8120000</v>
      </c>
      <c r="C680" s="1" t="s">
        <v>13</v>
      </c>
      <c r="D680" s="5">
        <f>3.29183986</f>
        <v>3.2918398600000001</v>
      </c>
      <c r="E680" s="5">
        <f>5.64241573</f>
        <v>5.6424157299999997</v>
      </c>
      <c r="F680" s="1">
        <v>1</v>
      </c>
      <c r="G680" s="1">
        <v>3</v>
      </c>
      <c r="H680" s="5">
        <f t="shared" si="10"/>
        <v>527.03365165986463</v>
      </c>
    </row>
    <row r="681" spans="1:8" x14ac:dyDescent="0.2">
      <c r="A681" s="5">
        <f>527.33732</f>
        <v>527.33731999999998</v>
      </c>
      <c r="B681" s="3">
        <f>555000</f>
        <v>555000</v>
      </c>
      <c r="C681" s="1" t="s">
        <v>12</v>
      </c>
      <c r="D681" s="5">
        <f>2.48437256</f>
        <v>2.4843725600000002</v>
      </c>
      <c r="E681" s="5">
        <f>4.83485507</f>
        <v>4.8348550699999997</v>
      </c>
      <c r="F681" s="1">
        <v>1</v>
      </c>
      <c r="G681" s="1">
        <v>3</v>
      </c>
      <c r="H681" s="5">
        <f t="shared" si="10"/>
        <v>527.0545851752214</v>
      </c>
    </row>
    <row r="682" spans="1:8" x14ac:dyDescent="0.2">
      <c r="A682" s="5">
        <f>528.03616</f>
        <v>528.03616</v>
      </c>
      <c r="B682" s="3">
        <f>727000</f>
        <v>727000</v>
      </c>
      <c r="C682" s="1" t="s">
        <v>6</v>
      </c>
      <c r="D682" s="5">
        <f>3.64164057</f>
        <v>3.6416405699999999</v>
      </c>
      <c r="E682" s="5">
        <f>5.98901244</f>
        <v>5.9890124399999998</v>
      </c>
      <c r="F682" s="1">
        <v>7</v>
      </c>
      <c r="G682" s="1">
        <v>5</v>
      </c>
      <c r="H682" s="5">
        <f t="shared" si="10"/>
        <v>527.75301608673658</v>
      </c>
    </row>
    <row r="683" spans="1:8" x14ac:dyDescent="0.2">
      <c r="A683" s="5">
        <f>528.179</f>
        <v>528.17899999999997</v>
      </c>
      <c r="B683" s="3">
        <f>5000000</f>
        <v>5000000</v>
      </c>
      <c r="C683" s="1" t="s">
        <v>13</v>
      </c>
      <c r="D683" s="5">
        <f>3.03847046</f>
        <v>3.0384704600000001</v>
      </c>
      <c r="E683" s="5">
        <f>5.38520741</f>
        <v>5.3852074099999996</v>
      </c>
      <c r="F683" s="1">
        <v>5</v>
      </c>
      <c r="G683" s="1">
        <v>7</v>
      </c>
      <c r="H683" s="5">
        <f t="shared" si="10"/>
        <v>527.89580198567342</v>
      </c>
    </row>
    <row r="684" spans="1:8" x14ac:dyDescent="0.2">
      <c r="A684" s="5">
        <f>528.36207</f>
        <v>528.36207000000002</v>
      </c>
      <c r="B684" s="3">
        <f>10200000</f>
        <v>10200000</v>
      </c>
      <c r="C684" s="1" t="s">
        <v>13</v>
      </c>
      <c r="D684" s="5">
        <f>3.24096914</f>
        <v>3.2409691399999998</v>
      </c>
      <c r="E684" s="5">
        <f>5.58689276</f>
        <v>5.5868927599999996</v>
      </c>
      <c r="F684" s="1">
        <v>7</v>
      </c>
      <c r="G684" s="1">
        <v>7</v>
      </c>
      <c r="H684" s="5">
        <f t="shared" si="10"/>
        <v>528.07882307338843</v>
      </c>
    </row>
    <row r="685" spans="1:8" x14ac:dyDescent="0.2">
      <c r="A685" s="5">
        <f>528.44245</f>
        <v>528.44245000000001</v>
      </c>
      <c r="B685" s="3">
        <f>82900</f>
        <v>82900</v>
      </c>
      <c r="C685" s="1" t="s">
        <v>6</v>
      </c>
      <c r="D685" s="5">
        <f>3.6343498</f>
        <v>3.6343497999999999</v>
      </c>
      <c r="E685" s="5">
        <f>5.97991659</f>
        <v>5.9799165900000002</v>
      </c>
      <c r="F685" s="1">
        <v>13</v>
      </c>
      <c r="G685" s="1">
        <v>11</v>
      </c>
      <c r="H685" s="5">
        <f t="shared" si="10"/>
        <v>528.15915946254631</v>
      </c>
    </row>
    <row r="686" spans="1:8" x14ac:dyDescent="0.2">
      <c r="A686" s="5">
        <f>528.51282</f>
        <v>528.51282000000003</v>
      </c>
      <c r="B686" s="3">
        <f>640000</f>
        <v>640000</v>
      </c>
      <c r="C686" s="1" t="s">
        <v>10</v>
      </c>
      <c r="D686" s="5">
        <f>4.43461275</f>
        <v>4.4346127500000003</v>
      </c>
      <c r="E686" s="5">
        <f>6.77986785</f>
        <v>6.7798678499999996</v>
      </c>
      <c r="F686" s="1">
        <v>9</v>
      </c>
      <c r="G686" s="1">
        <v>9</v>
      </c>
      <c r="H686" s="5">
        <f t="shared" si="10"/>
        <v>528.22935307534908</v>
      </c>
    </row>
    <row r="687" spans="1:8" x14ac:dyDescent="0.2">
      <c r="A687" s="5">
        <f>528.85243</f>
        <v>528.85243000000003</v>
      </c>
      <c r="B687" s="3">
        <f>822000</f>
        <v>822000</v>
      </c>
      <c r="C687" s="1" t="s">
        <v>13</v>
      </c>
      <c r="D687" s="5">
        <f>3.69459719</f>
        <v>3.6945971900000001</v>
      </c>
      <c r="E687" s="5">
        <f>6.03834476</f>
        <v>6.0383447600000002</v>
      </c>
      <c r="F687" s="1">
        <v>9</v>
      </c>
      <c r="G687" s="1">
        <v>9</v>
      </c>
      <c r="H687" s="5">
        <f t="shared" si="10"/>
        <v>528.56911730885031</v>
      </c>
    </row>
    <row r="688" spans="1:8" x14ac:dyDescent="0.2">
      <c r="A688" s="5">
        <f>529.3029</f>
        <v>529.30290000000002</v>
      </c>
      <c r="B688" s="3">
        <f>100000</f>
        <v>100000</v>
      </c>
      <c r="C688" s="1" t="s">
        <v>10</v>
      </c>
      <c r="D688" s="5">
        <f>4.38646275</f>
        <v>4.3864627499999997</v>
      </c>
      <c r="E688" s="5">
        <f>6.72821528</f>
        <v>6.7282152799999997</v>
      </c>
      <c r="F688" s="1">
        <v>11</v>
      </c>
      <c r="G688" s="1">
        <v>11</v>
      </c>
      <c r="H688" s="5">
        <f t="shared" si="10"/>
        <v>529.01942814156496</v>
      </c>
    </row>
    <row r="689" spans="1:8" x14ac:dyDescent="0.2">
      <c r="A689" s="5">
        <f>529.39585</f>
        <v>529.39585</v>
      </c>
      <c r="B689" s="3">
        <f>690000</f>
        <v>690000</v>
      </c>
      <c r="C689" s="1" t="s">
        <v>10</v>
      </c>
      <c r="D689" s="5">
        <f>4.14264893</f>
        <v>4.14264893</v>
      </c>
      <c r="E689" s="5">
        <f>6.48399171</f>
        <v>6.4839917099999997</v>
      </c>
      <c r="F689" s="1">
        <v>7</v>
      </c>
      <c r="G689" s="1">
        <v>5</v>
      </c>
      <c r="H689" s="5">
        <f t="shared" si="10"/>
        <v>529.11200993374541</v>
      </c>
    </row>
    <row r="690" spans="1:8" x14ac:dyDescent="0.2">
      <c r="A690" s="5">
        <f>529.45478</f>
        <v>529.45478000000003</v>
      </c>
      <c r="B690" s="3">
        <f>73000</f>
        <v>73000</v>
      </c>
      <c r="C690" s="1" t="s">
        <v>10</v>
      </c>
      <c r="D690" s="5">
        <f>3.63977237</f>
        <v>3.6397723700000002</v>
      </c>
      <c r="E690" s="5">
        <f>5.98085478</f>
        <v>5.9808547799999996</v>
      </c>
      <c r="F690" s="1">
        <v>5</v>
      </c>
      <c r="G690" s="1">
        <v>5</v>
      </c>
      <c r="H690" s="5">
        <f t="shared" si="10"/>
        <v>529.17085659947497</v>
      </c>
    </row>
    <row r="691" spans="1:8" x14ac:dyDescent="0.2">
      <c r="A691" s="5">
        <f>529.53118</f>
        <v>529.53117999999995</v>
      </c>
      <c r="B691" s="3">
        <f>730000</f>
        <v>730000</v>
      </c>
      <c r="C691" s="1" t="s">
        <v>10</v>
      </c>
      <c r="D691" s="5">
        <f>4.41527878</f>
        <v>4.4152787800000004</v>
      </c>
      <c r="E691" s="5">
        <f>6.75602283</f>
        <v>6.75602283</v>
      </c>
      <c r="F691" s="1">
        <v>7</v>
      </c>
      <c r="G691" s="1">
        <v>7</v>
      </c>
      <c r="H691" s="5">
        <f t="shared" si="10"/>
        <v>529.24734947832644</v>
      </c>
    </row>
    <row r="692" spans="1:8" x14ac:dyDescent="0.2">
      <c r="A692" s="5">
        <f>529.87755</f>
        <v>529.87755000000004</v>
      </c>
      <c r="B692" s="3">
        <f>458000</f>
        <v>458000</v>
      </c>
      <c r="C692" s="1" t="s">
        <v>6</v>
      </c>
      <c r="D692" s="5">
        <f>3.64164057</f>
        <v>3.6416405699999999</v>
      </c>
      <c r="E692" s="5">
        <f>5.98085478</f>
        <v>5.9808547799999996</v>
      </c>
      <c r="F692" s="1">
        <v>7</v>
      </c>
      <c r="G692" s="1">
        <v>5</v>
      </c>
      <c r="H692" s="5">
        <f t="shared" si="10"/>
        <v>529.59347586626666</v>
      </c>
    </row>
    <row r="693" spans="1:8" x14ac:dyDescent="0.2">
      <c r="A693" s="5">
        <f>530.2299</f>
        <v>530.22990000000004</v>
      </c>
      <c r="B693" s="3">
        <f>9040000</f>
        <v>9040000</v>
      </c>
      <c r="C693" s="1" t="s">
        <v>13</v>
      </c>
      <c r="D693" s="5">
        <f>3.28302483</f>
        <v>3.28302483</v>
      </c>
      <c r="E693" s="5">
        <f>5.62068415</f>
        <v>5.6206841499999998</v>
      </c>
      <c r="F693" s="1">
        <v>3</v>
      </c>
      <c r="G693" s="1">
        <v>5</v>
      </c>
      <c r="H693" s="5">
        <f t="shared" si="10"/>
        <v>529.94573403863797</v>
      </c>
    </row>
    <row r="694" spans="1:8" x14ac:dyDescent="0.2">
      <c r="A694" s="5">
        <f>530.73607</f>
        <v>530.73607000000004</v>
      </c>
      <c r="B694" s="3">
        <f>34800</f>
        <v>34800</v>
      </c>
      <c r="C694" s="1" t="s">
        <v>11</v>
      </c>
      <c r="D694" s="5">
        <f>1.60789577</f>
        <v>1.6078957700000001</v>
      </c>
      <c r="E694" s="5">
        <f>3.94332623</f>
        <v>3.9433262299999998</v>
      </c>
      <c r="F694" s="1">
        <v>5</v>
      </c>
      <c r="G694" s="1">
        <v>7</v>
      </c>
      <c r="H694" s="5">
        <f t="shared" si="10"/>
        <v>530.45149726687362</v>
      </c>
    </row>
    <row r="695" spans="1:8" x14ac:dyDescent="0.2">
      <c r="A695" s="5">
        <f>532.0035</f>
        <v>532.00350000000003</v>
      </c>
      <c r="B695" s="3">
        <f>150000</f>
        <v>150000</v>
      </c>
      <c r="C695" s="1" t="s">
        <v>12</v>
      </c>
      <c r="D695" s="5">
        <f>3.64164057</f>
        <v>3.6416405699999999</v>
      </c>
      <c r="E695" s="5">
        <f>5.97150625</f>
        <v>5.97150625</v>
      </c>
      <c r="F695" s="1">
        <v>7</v>
      </c>
      <c r="G695" s="1">
        <v>5</v>
      </c>
      <c r="H695" s="5">
        <f t="shared" si="10"/>
        <v>531.71845694969966</v>
      </c>
    </row>
    <row r="696" spans="1:8" x14ac:dyDescent="0.2">
      <c r="A696" s="5">
        <f>532.11076</f>
        <v>532.11076000000003</v>
      </c>
      <c r="B696" s="3">
        <f>2130000</f>
        <v>2130000</v>
      </c>
      <c r="C696" s="1" t="s">
        <v>5</v>
      </c>
      <c r="D696" s="5">
        <f>4.43461275</f>
        <v>4.4346127500000003</v>
      </c>
      <c r="E696" s="5">
        <f>6.76400977</f>
        <v>6.7640097700000004</v>
      </c>
      <c r="F696" s="1">
        <v>9</v>
      </c>
      <c r="G696" s="1">
        <v>9</v>
      </c>
      <c r="H696" s="5">
        <f t="shared" si="10"/>
        <v>531.82543535221953</v>
      </c>
    </row>
    <row r="697" spans="1:8" x14ac:dyDescent="0.2">
      <c r="A697" s="5">
        <f>532.20404</f>
        <v>532.20403999999996</v>
      </c>
      <c r="B697" s="3">
        <f>52900</f>
        <v>52900</v>
      </c>
      <c r="C697" s="1" t="s">
        <v>5</v>
      </c>
      <c r="D697" s="5">
        <f>2.27860466</f>
        <v>2.2786046600000001</v>
      </c>
      <c r="E697" s="5">
        <f>4.60759327</f>
        <v>4.6075932699999997</v>
      </c>
      <c r="F697" s="1">
        <v>5</v>
      </c>
      <c r="G697" s="1">
        <v>7</v>
      </c>
      <c r="H697" s="5">
        <f t="shared" si="10"/>
        <v>531.91869593113347</v>
      </c>
    </row>
    <row r="698" spans="1:8" x14ac:dyDescent="0.2">
      <c r="A698" s="5">
        <f>532.41787</f>
        <v>532.41786999999999</v>
      </c>
      <c r="B698" s="3">
        <f>20600000</f>
        <v>20600000</v>
      </c>
      <c r="C698" s="1" t="s">
        <v>13</v>
      </c>
      <c r="D698" s="5">
        <f>3.21118938</f>
        <v>3.21118938</v>
      </c>
      <c r="E698" s="5">
        <f>5.53924278</f>
        <v>5.5392427800000004</v>
      </c>
      <c r="F698" s="1">
        <v>9</v>
      </c>
      <c r="G698" s="1">
        <v>9</v>
      </c>
      <c r="H698" s="5">
        <f t="shared" si="10"/>
        <v>532.13237474263383</v>
      </c>
    </row>
    <row r="699" spans="1:8" x14ac:dyDescent="0.2">
      <c r="A699" s="5">
        <f>532.61424</f>
        <v>532.61424</v>
      </c>
      <c r="B699" s="3">
        <f>222000</f>
        <v>222000</v>
      </c>
      <c r="C699" s="1" t="s">
        <v>13</v>
      </c>
      <c r="D699" s="5">
        <f>3.5732189</f>
        <v>3.5732189000000001</v>
      </c>
      <c r="E699" s="5">
        <f>5.90041395</f>
        <v>5.9004139499999999</v>
      </c>
      <c r="F699" s="1">
        <v>11</v>
      </c>
      <c r="G699" s="1">
        <v>9</v>
      </c>
      <c r="H699" s="5">
        <f t="shared" si="10"/>
        <v>532.32864356155414</v>
      </c>
    </row>
    <row r="700" spans="1:8" x14ac:dyDescent="0.2">
      <c r="A700" s="5">
        <f>532.80383</f>
        <v>532.80382999999995</v>
      </c>
      <c r="B700" s="3">
        <f>1150000</f>
        <v>1150000</v>
      </c>
      <c r="C700" s="1" t="s">
        <v>11</v>
      </c>
      <c r="D700" s="5">
        <f>0.91460217</f>
        <v>0.91460216999999999</v>
      </c>
      <c r="E700" s="5">
        <f>3.24096914</f>
        <v>3.2409691399999998</v>
      </c>
      <c r="F700" s="1">
        <v>9</v>
      </c>
      <c r="G700" s="1">
        <v>7</v>
      </c>
      <c r="H700" s="5">
        <f t="shared" si="10"/>
        <v>532.51812815656649</v>
      </c>
    </row>
    <row r="701" spans="1:8" x14ac:dyDescent="0.2">
      <c r="A701" s="5">
        <f>532.85313</f>
        <v>532.85312999999996</v>
      </c>
      <c r="B701" s="3">
        <f>474000</f>
        <v>474000</v>
      </c>
      <c r="C701" s="1" t="s">
        <v>13</v>
      </c>
      <c r="D701" s="5">
        <f>1.55735733</f>
        <v>1.5573573300000001</v>
      </c>
      <c r="E701" s="5">
        <f>3.88350907</f>
        <v>3.8835090700000001</v>
      </c>
      <c r="F701" s="1">
        <v>7</v>
      </c>
      <c r="G701" s="1">
        <v>7</v>
      </c>
      <c r="H701" s="5">
        <f t="shared" si="10"/>
        <v>532.56740003971663</v>
      </c>
    </row>
    <row r="702" spans="1:8" x14ac:dyDescent="0.2">
      <c r="A702" s="5">
        <f>532.99887</f>
        <v>532.99887000000001</v>
      </c>
      <c r="B702" s="3">
        <f>1290000</f>
        <v>1290000</v>
      </c>
      <c r="C702" s="1" t="s">
        <v>6</v>
      </c>
      <c r="D702" s="5">
        <f>4.07581091</f>
        <v>4.0758109100000004</v>
      </c>
      <c r="E702" s="5">
        <f>6.40132623</f>
        <v>6.4013262299999996</v>
      </c>
      <c r="F702" s="1">
        <v>9</v>
      </c>
      <c r="G702" s="1">
        <v>11</v>
      </c>
      <c r="H702" s="5">
        <f t="shared" si="10"/>
        <v>532.71314689497012</v>
      </c>
    </row>
    <row r="703" spans="1:8" x14ac:dyDescent="0.2">
      <c r="A703" s="5">
        <f>533.26598</f>
        <v>533.26598000000001</v>
      </c>
      <c r="B703" s="3">
        <f>680000</f>
        <v>680000</v>
      </c>
      <c r="C703" s="1" t="s">
        <v>10</v>
      </c>
      <c r="D703" s="5">
        <f>4.1863644</f>
        <v>4.1863644000000004</v>
      </c>
      <c r="E703" s="5">
        <f>6.51071489</f>
        <v>6.51071489</v>
      </c>
      <c r="F703" s="1">
        <v>5</v>
      </c>
      <c r="G703" s="1">
        <v>3</v>
      </c>
      <c r="H703" s="5">
        <f t="shared" si="10"/>
        <v>532.98011190630007</v>
      </c>
    </row>
    <row r="704" spans="1:8" x14ac:dyDescent="0.2">
      <c r="A704" s="5">
        <f>533.28994</f>
        <v>533.28994</v>
      </c>
      <c r="B704" s="3">
        <f>43600</f>
        <v>43600</v>
      </c>
      <c r="C704" s="1" t="s">
        <v>13</v>
      </c>
      <c r="D704" s="5">
        <f>1.55735733</f>
        <v>1.5573573300000001</v>
      </c>
      <c r="E704" s="5">
        <f>3.88160368</f>
        <v>3.88160368</v>
      </c>
      <c r="F704" s="1">
        <v>7</v>
      </c>
      <c r="G704" s="1">
        <v>9</v>
      </c>
      <c r="H704" s="5">
        <f t="shared" si="10"/>
        <v>533.00399257146853</v>
      </c>
    </row>
    <row r="705" spans="1:8" x14ac:dyDescent="0.2">
      <c r="A705" s="5">
        <f>533.9929</f>
        <v>533.99289999999996</v>
      </c>
      <c r="B705" s="3">
        <f>6360000</f>
        <v>6360000</v>
      </c>
      <c r="C705" s="1" t="s">
        <v>6</v>
      </c>
      <c r="D705" s="5">
        <f>3.2657061</f>
        <v>3.2657061000000001</v>
      </c>
      <c r="E705" s="5">
        <f>5.58689276</f>
        <v>5.5868927599999996</v>
      </c>
      <c r="F705" s="1">
        <v>5</v>
      </c>
      <c r="G705" s="1">
        <v>7</v>
      </c>
      <c r="H705" s="5">
        <f t="shared" si="10"/>
        <v>533.70657587255971</v>
      </c>
    </row>
    <row r="706" spans="1:8" x14ac:dyDescent="0.2">
      <c r="A706" s="5">
        <f>534.10237</f>
        <v>534.10236999999995</v>
      </c>
      <c r="B706" s="3">
        <f>521000</f>
        <v>521000</v>
      </c>
      <c r="C706" s="1" t="s">
        <v>13</v>
      </c>
      <c r="D706" s="5">
        <f>1.60789577</f>
        <v>1.6078957700000001</v>
      </c>
      <c r="E706" s="5">
        <f>3.92860683</f>
        <v>3.9286068300000001</v>
      </c>
      <c r="F706" s="1">
        <v>5</v>
      </c>
      <c r="G706" s="1">
        <v>5</v>
      </c>
      <c r="H706" s="5">
        <f t="shared" si="10"/>
        <v>533.8159521977127</v>
      </c>
    </row>
    <row r="707" spans="1:8" x14ac:dyDescent="0.2">
      <c r="A707" s="5">
        <f>534.97373</f>
        <v>534.97373000000005</v>
      </c>
      <c r="B707" s="3">
        <f>1400000</f>
        <v>1400000</v>
      </c>
      <c r="C707" s="1" t="s">
        <v>12</v>
      </c>
      <c r="D707" s="5">
        <f>4.38646275</f>
        <v>4.3864627499999997</v>
      </c>
      <c r="E707" s="5">
        <f>6.7033939</f>
        <v>6.7033939</v>
      </c>
      <c r="F707" s="1">
        <v>11</v>
      </c>
      <c r="G707" s="1">
        <v>9</v>
      </c>
      <c r="H707" s="5">
        <f t="shared" ref="H707:H770" si="11">$J$2*$J$1/((E707-D707)*$J$3)*1000000000</f>
        <v>534.68683532942384</v>
      </c>
    </row>
    <row r="708" spans="1:8" x14ac:dyDescent="0.2">
      <c r="A708" s="5">
        <f>536.16248</f>
        <v>536.16247999999996</v>
      </c>
      <c r="B708" s="3">
        <f>1800000</f>
        <v>1800000</v>
      </c>
      <c r="C708" s="1" t="s">
        <v>10</v>
      </c>
      <c r="D708" s="5">
        <f>4.41527878</f>
        <v>4.4152787800000004</v>
      </c>
      <c r="E708" s="5">
        <f>6.72707289</f>
        <v>6.7270728899999996</v>
      </c>
      <c r="F708" s="1">
        <v>7</v>
      </c>
      <c r="G708" s="1">
        <v>5</v>
      </c>
      <c r="H708" s="5">
        <f t="shared" si="11"/>
        <v>535.87496348005811</v>
      </c>
    </row>
    <row r="709" spans="1:8" x14ac:dyDescent="0.2">
      <c r="A709" s="5">
        <f>536.48709</f>
        <v>536.48708999999997</v>
      </c>
      <c r="B709" s="3">
        <f>55900000</f>
        <v>55900000</v>
      </c>
      <c r="C709" s="1" t="s">
        <v>6</v>
      </c>
      <c r="D709" s="5">
        <f>4.44562726</f>
        <v>4.4456272600000002</v>
      </c>
      <c r="E709" s="5">
        <f>6.75602283</f>
        <v>6.75602283</v>
      </c>
      <c r="F709" s="1">
        <v>5</v>
      </c>
      <c r="G709" s="1">
        <v>7</v>
      </c>
      <c r="H709" s="5">
        <f t="shared" si="11"/>
        <v>536.19934194630707</v>
      </c>
    </row>
    <row r="710" spans="1:8" x14ac:dyDescent="0.2">
      <c r="A710" s="5">
        <f>536.53987</f>
        <v>536.53986999999995</v>
      </c>
      <c r="B710" s="3">
        <f>2460000</f>
        <v>2460000</v>
      </c>
      <c r="C710" s="1" t="s">
        <v>13</v>
      </c>
      <c r="D710" s="5">
        <f>3.5732189</f>
        <v>3.5732189000000001</v>
      </c>
      <c r="E710" s="5">
        <f>5.88338708</f>
        <v>5.8833870800000003</v>
      </c>
      <c r="F710" s="1">
        <v>11</v>
      </c>
      <c r="G710" s="1">
        <v>9</v>
      </c>
      <c r="H710" s="5">
        <f t="shared" si="11"/>
        <v>536.25212008143171</v>
      </c>
    </row>
    <row r="711" spans="1:8" x14ac:dyDescent="0.2">
      <c r="A711" s="5">
        <f>536.7466</f>
        <v>536.74659999999994</v>
      </c>
      <c r="B711" s="3">
        <f>71300000</f>
        <v>71300000</v>
      </c>
      <c r="C711" s="1" t="s">
        <v>13</v>
      </c>
      <c r="D711" s="5">
        <f>4.41527878</f>
        <v>4.4152787800000004</v>
      </c>
      <c r="E711" s="5">
        <f>6.72455738</f>
        <v>6.7245573800000003</v>
      </c>
      <c r="F711" s="1">
        <v>7</v>
      </c>
      <c r="G711" s="1">
        <v>9</v>
      </c>
      <c r="H711" s="5">
        <f t="shared" si="11"/>
        <v>536.45869505293251</v>
      </c>
    </row>
    <row r="712" spans="1:8" x14ac:dyDescent="0.2">
      <c r="A712" s="5">
        <f>536.99615</f>
        <v>536.99614999999994</v>
      </c>
      <c r="B712" s="3">
        <f>72200000</f>
        <v>72200000</v>
      </c>
      <c r="C712" s="1" t="s">
        <v>14</v>
      </c>
      <c r="D712" s="5">
        <f>4.37135106</f>
        <v>4.3713510600000003</v>
      </c>
      <c r="E712" s="5">
        <f>6.67955657</f>
        <v>6.6795565699999999</v>
      </c>
      <c r="F712" s="1">
        <v>9</v>
      </c>
      <c r="G712" s="1">
        <v>11</v>
      </c>
      <c r="H712" s="5">
        <f t="shared" si="11"/>
        <v>536.70809592238743</v>
      </c>
    </row>
    <row r="713" spans="1:8" x14ac:dyDescent="0.2">
      <c r="A713" s="5">
        <f>537.14893</f>
        <v>537.14892999999995</v>
      </c>
      <c r="B713" s="3">
        <f>1050000</f>
        <v>1050000</v>
      </c>
      <c r="C713" s="1" t="s">
        <v>11</v>
      </c>
      <c r="D713" s="5">
        <f>0.95815732</f>
        <v>0.95815731999999998</v>
      </c>
      <c r="E713" s="5">
        <f>3.2657061</f>
        <v>3.2657061000000001</v>
      </c>
      <c r="F713" s="1">
        <v>7</v>
      </c>
      <c r="G713" s="1">
        <v>5</v>
      </c>
      <c r="H713" s="5">
        <f t="shared" si="11"/>
        <v>536.86084342263086</v>
      </c>
    </row>
    <row r="714" spans="1:8" x14ac:dyDescent="0.2">
      <c r="A714" s="5">
        <f>537.37082</f>
        <v>537.37081999999998</v>
      </c>
      <c r="B714" s="3">
        <f>3700000</f>
        <v>3700000</v>
      </c>
      <c r="C714" s="1" t="s">
        <v>12</v>
      </c>
      <c r="D714" s="5">
        <f>4.47327202</f>
        <v>4.4732720199999996</v>
      </c>
      <c r="E714" s="5">
        <f>6.77986785</f>
        <v>6.7798678499999996</v>
      </c>
      <c r="F714" s="1">
        <v>7</v>
      </c>
      <c r="G714" s="1">
        <v>9</v>
      </c>
      <c r="H714" s="5">
        <f t="shared" si="11"/>
        <v>537.08264280945264</v>
      </c>
    </row>
    <row r="715" spans="1:8" x14ac:dyDescent="0.2">
      <c r="A715" s="5">
        <f>537.6833</f>
        <v>537.68330000000003</v>
      </c>
      <c r="B715" s="3">
        <f>400000</f>
        <v>400000</v>
      </c>
      <c r="C715" s="1" t="s">
        <v>10</v>
      </c>
      <c r="D715" s="5">
        <f>4.29441489</f>
        <v>4.2944148899999997</v>
      </c>
      <c r="E715" s="5">
        <f>6.59967157</f>
        <v>6.5996715699999999</v>
      </c>
      <c r="F715" s="1">
        <v>5</v>
      </c>
      <c r="G715" s="1">
        <v>3</v>
      </c>
      <c r="H715" s="5">
        <f t="shared" si="11"/>
        <v>537.39464026611688</v>
      </c>
    </row>
    <row r="716" spans="1:8" x14ac:dyDescent="0.2">
      <c r="A716" s="5">
        <f>537.95737</f>
        <v>537.95736999999997</v>
      </c>
      <c r="B716" s="3">
        <f>641000</f>
        <v>641000</v>
      </c>
      <c r="C716" s="1" t="s">
        <v>13</v>
      </c>
      <c r="D716" s="5">
        <f>3.69459719</f>
        <v>3.6945971900000001</v>
      </c>
      <c r="E716" s="5">
        <f>5.99867825</f>
        <v>5.9986782500000002</v>
      </c>
      <c r="F716" s="1">
        <v>9</v>
      </c>
      <c r="G716" s="1">
        <v>11</v>
      </c>
      <c r="H716" s="5">
        <f t="shared" si="11"/>
        <v>537.66883716741404</v>
      </c>
    </row>
    <row r="717" spans="1:8" x14ac:dyDescent="0.2">
      <c r="A717" s="5">
        <f>538.33688</f>
        <v>538.33687999999995</v>
      </c>
      <c r="B717" s="3">
        <f>78100000</f>
        <v>78100000</v>
      </c>
      <c r="C717" s="1" t="s">
        <v>14</v>
      </c>
      <c r="D717" s="5">
        <f>4.31247059</f>
        <v>4.3124705900000002</v>
      </c>
      <c r="E717" s="5">
        <f>6.61492758</f>
        <v>6.6149275799999998</v>
      </c>
      <c r="F717" s="1">
        <v>11</v>
      </c>
      <c r="G717" s="1">
        <v>13</v>
      </c>
      <c r="H717" s="5">
        <f t="shared" si="11"/>
        <v>538.04808934548794</v>
      </c>
    </row>
    <row r="718" spans="1:8" x14ac:dyDescent="0.2">
      <c r="A718" s="5">
        <f>538.5575</f>
        <v>538.5575</v>
      </c>
      <c r="B718" s="3">
        <f>31000</f>
        <v>31000</v>
      </c>
      <c r="C718" s="1" t="s">
        <v>10</v>
      </c>
      <c r="D718" s="5">
        <f>3.69459719</f>
        <v>3.6945971900000001</v>
      </c>
      <c r="E718" s="5">
        <f>5.99610917</f>
        <v>5.9961091700000004</v>
      </c>
      <c r="F718" s="1">
        <v>9</v>
      </c>
      <c r="G718" s="1">
        <v>9</v>
      </c>
      <c r="H718" s="5">
        <f t="shared" si="11"/>
        <v>538.26901403731244</v>
      </c>
    </row>
    <row r="719" spans="1:8" x14ac:dyDescent="0.2">
      <c r="A719" s="5">
        <f>538.63337</f>
        <v>538.63337000000001</v>
      </c>
      <c r="B719" s="3">
        <f>840000</f>
        <v>840000</v>
      </c>
      <c r="C719" s="1" t="s">
        <v>10</v>
      </c>
      <c r="D719" s="5">
        <f>4.15435379</f>
        <v>4.15435379</v>
      </c>
      <c r="E719" s="5">
        <f>6.45554341</f>
        <v>6.4555434099999998</v>
      </c>
      <c r="F719" s="1">
        <v>7</v>
      </c>
      <c r="G719" s="1">
        <v>5</v>
      </c>
      <c r="H719" s="5">
        <f t="shared" si="11"/>
        <v>538.34441694972668</v>
      </c>
    </row>
    <row r="720" spans="1:8" x14ac:dyDescent="0.2">
      <c r="A720" s="5">
        <f>538.748</f>
        <v>538.74800000000005</v>
      </c>
      <c r="B720" s="3">
        <f>303000</f>
        <v>303000</v>
      </c>
      <c r="C720" s="1" t="s">
        <v>6</v>
      </c>
      <c r="D720" s="5">
        <f>4.14264893</f>
        <v>4.14264893</v>
      </c>
      <c r="E720" s="5">
        <f>6.44334733</f>
        <v>6.4433473299999999</v>
      </c>
      <c r="F720" s="1">
        <v>7</v>
      </c>
      <c r="G720" s="1">
        <v>7</v>
      </c>
      <c r="H720" s="5">
        <f t="shared" si="11"/>
        <v>538.45935837120714</v>
      </c>
    </row>
    <row r="721" spans="1:8" x14ac:dyDescent="0.2">
      <c r="A721" s="5">
        <f>539.31673</f>
        <v>539.31673000000001</v>
      </c>
      <c r="B721" s="3">
        <f>4910000</f>
        <v>4910000</v>
      </c>
      <c r="C721" s="1" t="s">
        <v>13</v>
      </c>
      <c r="D721" s="5">
        <f>3.24096914</f>
        <v>3.2409691399999998</v>
      </c>
      <c r="E721" s="5">
        <f>5.53924278</f>
        <v>5.5392427800000004</v>
      </c>
      <c r="F721" s="1">
        <v>7</v>
      </c>
      <c r="G721" s="1">
        <v>9</v>
      </c>
      <c r="H721" s="5">
        <f t="shared" si="11"/>
        <v>539.02745204424957</v>
      </c>
    </row>
    <row r="722" spans="1:8" x14ac:dyDescent="0.2">
      <c r="A722" s="5">
        <f>539.5218</f>
        <v>539.52179999999998</v>
      </c>
      <c r="B722" s="3">
        <f>540000</f>
        <v>540000</v>
      </c>
      <c r="C722" s="1" t="s">
        <v>10</v>
      </c>
      <c r="D722" s="5">
        <f>4.44562726</f>
        <v>4.4456272600000002</v>
      </c>
      <c r="E722" s="5">
        <f>6.74302768</f>
        <v>6.74302768</v>
      </c>
      <c r="F722" s="1">
        <v>5</v>
      </c>
      <c r="G722" s="1">
        <v>3</v>
      </c>
      <c r="H722" s="5">
        <f t="shared" si="11"/>
        <v>539.23233124056935</v>
      </c>
    </row>
    <row r="723" spans="1:8" x14ac:dyDescent="0.2">
      <c r="A723" s="5">
        <f>539.71276</f>
        <v>539.71276</v>
      </c>
      <c r="B723" s="3">
        <f>258000</f>
        <v>258000</v>
      </c>
      <c r="C723" s="1" t="s">
        <v>11</v>
      </c>
      <c r="D723" s="5">
        <f>0.91460217</f>
        <v>0.91460216999999999</v>
      </c>
      <c r="E723" s="5">
        <f>3.21118938</f>
        <v>3.21118938</v>
      </c>
      <c r="F723" s="1">
        <v>9</v>
      </c>
      <c r="G723" s="1">
        <v>9</v>
      </c>
      <c r="H723" s="5">
        <f t="shared" si="11"/>
        <v>539.42327070160025</v>
      </c>
    </row>
    <row r="724" spans="1:8" x14ac:dyDescent="0.2">
      <c r="A724" s="5">
        <f>539.82791</f>
        <v>539.82790999999997</v>
      </c>
      <c r="B724" s="3">
        <f>9000000</f>
        <v>9000000</v>
      </c>
      <c r="C724" s="1" t="s">
        <v>10</v>
      </c>
      <c r="D724" s="5">
        <f>4.44562726</f>
        <v>4.4456272600000002</v>
      </c>
      <c r="E724" s="5">
        <f>6.74172473</f>
        <v>6.7417247299999996</v>
      </c>
      <c r="F724" s="1">
        <v>5</v>
      </c>
      <c r="G724" s="1">
        <v>5</v>
      </c>
      <c r="H724" s="5">
        <f t="shared" si="11"/>
        <v>539.53832555273152</v>
      </c>
    </row>
    <row r="725" spans="1:8" x14ac:dyDescent="0.2">
      <c r="A725" s="5">
        <f>540.12686</f>
        <v>540.12685999999997</v>
      </c>
      <c r="B725" s="3">
        <f>220000</f>
        <v>220000</v>
      </c>
      <c r="C725" s="1" t="s">
        <v>10</v>
      </c>
      <c r="D725" s="5">
        <f>4.32010008</f>
        <v>4.3201000799999996</v>
      </c>
      <c r="E725" s="5">
        <f>6.61492758</f>
        <v>6.6149275799999998</v>
      </c>
      <c r="F725" s="1">
        <v>13</v>
      </c>
      <c r="G725" s="1">
        <v>13</v>
      </c>
      <c r="H725" s="5">
        <f t="shared" si="11"/>
        <v>539.83690899192334</v>
      </c>
    </row>
    <row r="726" spans="1:8" x14ac:dyDescent="0.2">
      <c r="A726" s="5">
        <f>540.38212</f>
        <v>540.38211999999999</v>
      </c>
      <c r="B726" s="3">
        <f>1920000</f>
        <v>1920000</v>
      </c>
      <c r="C726" s="1" t="s">
        <v>6</v>
      </c>
      <c r="D726" s="5">
        <f>4.07581091</f>
        <v>4.0758109100000004</v>
      </c>
      <c r="E726" s="5">
        <f>6.36955305</f>
        <v>6.3695530500000004</v>
      </c>
      <c r="F726" s="1">
        <v>9</v>
      </c>
      <c r="G726" s="1">
        <v>11</v>
      </c>
      <c r="H726" s="5">
        <f t="shared" si="11"/>
        <v>540.09235069015347</v>
      </c>
    </row>
    <row r="727" spans="1:8" x14ac:dyDescent="0.2">
      <c r="A727" s="5">
        <f>540.41513</f>
        <v>540.41512999999998</v>
      </c>
      <c r="B727" s="3">
        <f>69200000</f>
        <v>69200000</v>
      </c>
      <c r="C727" s="1" t="s">
        <v>14</v>
      </c>
      <c r="D727" s="5">
        <f>4.43461275</f>
        <v>4.4346127500000003</v>
      </c>
      <c r="E727" s="5">
        <f>6.72821528</f>
        <v>6.7282152799999997</v>
      </c>
      <c r="F727" s="1">
        <v>9</v>
      </c>
      <c r="G727" s="1">
        <v>11</v>
      </c>
      <c r="H727" s="5">
        <f t="shared" si="11"/>
        <v>540.125225738072</v>
      </c>
    </row>
    <row r="728" spans="1:8" x14ac:dyDescent="0.2">
      <c r="A728" s="5">
        <f>540.53496</f>
        <v>540.53495999999996</v>
      </c>
      <c r="B728" s="3">
        <f>845000</f>
        <v>845000</v>
      </c>
      <c r="C728" s="1" t="s">
        <v>5</v>
      </c>
      <c r="D728" s="5">
        <f>4.38646275</f>
        <v>4.3864627499999997</v>
      </c>
      <c r="E728" s="5">
        <f>6.67955657</f>
        <v>6.6795565699999999</v>
      </c>
      <c r="F728" s="1">
        <v>11</v>
      </c>
      <c r="G728" s="1">
        <v>11</v>
      </c>
      <c r="H728" s="5">
        <f t="shared" si="11"/>
        <v>540.24504948936749</v>
      </c>
    </row>
    <row r="729" spans="1:8" x14ac:dyDescent="0.2">
      <c r="A729" s="5">
        <f>540.57749</f>
        <v>540.57749000000001</v>
      </c>
      <c r="B729" s="3">
        <f>1090000</f>
        <v>1090000</v>
      </c>
      <c r="C729" s="1" t="s">
        <v>11</v>
      </c>
      <c r="D729" s="5">
        <f>0.99011115</f>
        <v>0.99011115000000005</v>
      </c>
      <c r="E729" s="5">
        <f>3.28302483</f>
        <v>3.28302483</v>
      </c>
      <c r="F729" s="1">
        <v>5</v>
      </c>
      <c r="G729" s="1">
        <v>3</v>
      </c>
      <c r="H729" s="5">
        <f t="shared" si="11"/>
        <v>540.28749319061274</v>
      </c>
    </row>
    <row r="730" spans="1:8" x14ac:dyDescent="0.2">
      <c r="A730" s="5">
        <f>540.91332</f>
        <v>540.91332</v>
      </c>
      <c r="B730" s="3">
        <f>1100000</f>
        <v>1100000</v>
      </c>
      <c r="C730" s="1" t="s">
        <v>12</v>
      </c>
      <c r="D730" s="5">
        <f>4.37135106</f>
        <v>4.3713510600000003</v>
      </c>
      <c r="E730" s="5">
        <f>6.66284114</f>
        <v>6.6628411400000003</v>
      </c>
      <c r="F730" s="1">
        <v>9</v>
      </c>
      <c r="G730" s="1">
        <v>11</v>
      </c>
      <c r="H730" s="5">
        <f t="shared" si="11"/>
        <v>540.62314957508488</v>
      </c>
    </row>
    <row r="731" spans="1:8" x14ac:dyDescent="0.2">
      <c r="A731" s="5">
        <f>541.09095</f>
        <v>541.09095000000002</v>
      </c>
      <c r="B731" s="3">
        <f>63300000</f>
        <v>63300000</v>
      </c>
      <c r="C731" s="1" t="s">
        <v>14</v>
      </c>
      <c r="D731" s="5">
        <f>4.47327202</f>
        <v>4.4732720199999996</v>
      </c>
      <c r="E731" s="5">
        <f>6.76400977</f>
        <v>6.7640097700000004</v>
      </c>
      <c r="F731" s="1">
        <v>7</v>
      </c>
      <c r="G731" s="1">
        <v>9</v>
      </c>
      <c r="H731" s="5">
        <f t="shared" si="11"/>
        <v>540.80070242421357</v>
      </c>
    </row>
    <row r="732" spans="1:8" x14ac:dyDescent="0.2">
      <c r="A732" s="5">
        <f>541.2785</f>
        <v>541.27850000000001</v>
      </c>
      <c r="B732" s="3">
        <f>486000</f>
        <v>486000</v>
      </c>
      <c r="C732" s="1" t="s">
        <v>13</v>
      </c>
      <c r="D732" s="5">
        <f>4.43461275</f>
        <v>4.4346127500000003</v>
      </c>
      <c r="E732" s="5">
        <f>6.72455738</f>
        <v>6.7245573800000003</v>
      </c>
      <c r="F732" s="1">
        <v>9</v>
      </c>
      <c r="G732" s="1">
        <v>9</v>
      </c>
      <c r="H732" s="5">
        <f t="shared" si="11"/>
        <v>540.98800819898554</v>
      </c>
    </row>
    <row r="733" spans="1:8" x14ac:dyDescent="0.2">
      <c r="A733" s="5">
        <f>541.51989</f>
        <v>541.51989000000003</v>
      </c>
      <c r="B733" s="3">
        <f>76700000</f>
        <v>76700000</v>
      </c>
      <c r="C733" s="1" t="s">
        <v>14</v>
      </c>
      <c r="D733" s="5">
        <f>4.38646275</f>
        <v>4.3864627499999997</v>
      </c>
      <c r="E733" s="5">
        <f>6.67538611</f>
        <v>6.6753861099999998</v>
      </c>
      <c r="F733" s="1">
        <v>11</v>
      </c>
      <c r="G733" s="1">
        <v>13</v>
      </c>
      <c r="H733" s="5">
        <f t="shared" si="11"/>
        <v>541.22938579719982</v>
      </c>
    </row>
    <row r="734" spans="1:8" x14ac:dyDescent="0.2">
      <c r="A734" s="5">
        <f>541.70328</f>
        <v>541.70327999999995</v>
      </c>
      <c r="B734" s="3">
        <f>1000000</f>
        <v>1000000</v>
      </c>
      <c r="C734" s="1" t="s">
        <v>10</v>
      </c>
      <c r="D734" s="5">
        <f>4.41527878</f>
        <v>4.4152787800000004</v>
      </c>
      <c r="E734" s="5">
        <f>6.70342551</f>
        <v>6.7034255099999998</v>
      </c>
      <c r="F734" s="1">
        <v>7</v>
      </c>
      <c r="G734" s="1">
        <v>5</v>
      </c>
      <c r="H734" s="5">
        <f t="shared" si="11"/>
        <v>541.41308685639376</v>
      </c>
    </row>
    <row r="735" spans="1:8" x14ac:dyDescent="0.2">
      <c r="A735" s="5">
        <f>542.95041</f>
        <v>542.95041000000003</v>
      </c>
      <c r="B735" s="3">
        <f>7270000</f>
        <v>7270000</v>
      </c>
      <c r="C735" s="1" t="s">
        <v>6</v>
      </c>
      <c r="D735" s="5">
        <f>4.19086081</f>
        <v>4.1908608100000002</v>
      </c>
      <c r="E735" s="5">
        <f>6.47375371</f>
        <v>6.4737537100000004</v>
      </c>
      <c r="F735" s="1">
        <v>5</v>
      </c>
      <c r="G735" s="1">
        <v>3</v>
      </c>
      <c r="H735" s="5">
        <f t="shared" si="11"/>
        <v>542.65909025765632</v>
      </c>
    </row>
    <row r="736" spans="1:8" x14ac:dyDescent="0.2">
      <c r="A736" s="5">
        <f>542.96964</f>
        <v>542.96964000000003</v>
      </c>
      <c r="B736" s="3">
        <f>427000</f>
        <v>427000</v>
      </c>
      <c r="C736" s="1" t="s">
        <v>11</v>
      </c>
      <c r="D736" s="5">
        <f>0.95815732</f>
        <v>0.95815731999999998</v>
      </c>
      <c r="E736" s="5">
        <f>3.24096914</f>
        <v>3.2409691399999998</v>
      </c>
      <c r="F736" s="1">
        <v>7</v>
      </c>
      <c r="G736" s="1">
        <v>7</v>
      </c>
      <c r="H736" s="5">
        <f t="shared" si="11"/>
        <v>542.67836420685035</v>
      </c>
    </row>
    <row r="737" spans="1:8" x14ac:dyDescent="0.2">
      <c r="A737" s="5">
        <f>543.29475</f>
        <v>543.29475000000002</v>
      </c>
      <c r="B737" s="3">
        <f>4300000</f>
        <v>4300000</v>
      </c>
      <c r="C737" s="1" t="s">
        <v>12</v>
      </c>
      <c r="D737" s="5">
        <f>4.44562726</f>
        <v>4.4456272600000002</v>
      </c>
      <c r="E737" s="5">
        <f>6.72707289</f>
        <v>6.7270728899999996</v>
      </c>
      <c r="F737" s="1">
        <v>5</v>
      </c>
      <c r="G737" s="1">
        <v>5</v>
      </c>
      <c r="H737" s="5">
        <f t="shared" si="11"/>
        <v>543.00333436815811</v>
      </c>
    </row>
    <row r="738" spans="1:8" x14ac:dyDescent="0.2">
      <c r="A738" s="5">
        <f>543.45235</f>
        <v>543.45235000000002</v>
      </c>
      <c r="B738" s="3">
        <f>1700000</f>
        <v>1700000</v>
      </c>
      <c r="C738" s="1" t="s">
        <v>11</v>
      </c>
      <c r="D738" s="5">
        <f>1.01105568</f>
        <v>1.0110556799999999</v>
      </c>
      <c r="E738" s="5">
        <f>3.29183986</f>
        <v>3.2918398600000001</v>
      </c>
      <c r="F738" s="1">
        <v>3</v>
      </c>
      <c r="G738" s="1">
        <v>1</v>
      </c>
      <c r="H738" s="5">
        <f t="shared" si="11"/>
        <v>543.16081071277108</v>
      </c>
    </row>
    <row r="739" spans="1:8" x14ac:dyDescent="0.2">
      <c r="A739" s="5">
        <f>543.62954</f>
        <v>543.62954000000002</v>
      </c>
      <c r="B739" s="3">
        <f>770000</f>
        <v>770000</v>
      </c>
      <c r="C739" s="1" t="s">
        <v>10</v>
      </c>
      <c r="D739" s="5">
        <f>4.38646275</f>
        <v>4.3864627499999997</v>
      </c>
      <c r="E739" s="5">
        <f>6.66650376</f>
        <v>6.6665037600000003</v>
      </c>
      <c r="F739" s="1">
        <v>11</v>
      </c>
      <c r="G739" s="1">
        <v>9</v>
      </c>
      <c r="H739" s="5">
        <f t="shared" si="11"/>
        <v>543.33785174752734</v>
      </c>
    </row>
    <row r="740" spans="1:8" x14ac:dyDescent="0.2">
      <c r="A740" s="5">
        <f>543.65958</f>
        <v>543.65958000000001</v>
      </c>
      <c r="B740" s="3">
        <f>35000</f>
        <v>35000</v>
      </c>
      <c r="C740" s="1" t="s">
        <v>5</v>
      </c>
      <c r="D740" s="5">
        <f>2.27860466</f>
        <v>2.2786046600000001</v>
      </c>
      <c r="E740" s="5">
        <f>4.55852281</f>
        <v>4.5585228100000004</v>
      </c>
      <c r="F740" s="1">
        <v>5</v>
      </c>
      <c r="G740" s="1">
        <v>7</v>
      </c>
      <c r="H740" s="5">
        <f t="shared" si="11"/>
        <v>543.3671310830448</v>
      </c>
    </row>
    <row r="741" spans="1:8" x14ac:dyDescent="0.2">
      <c r="A741" s="5">
        <f>544.13383</f>
        <v>544.13382999999999</v>
      </c>
      <c r="B741" s="3">
        <f>500000</f>
        <v>500000</v>
      </c>
      <c r="C741" s="1" t="s">
        <v>10</v>
      </c>
      <c r="D741" s="5">
        <f>4.31247059</f>
        <v>4.3124705900000002</v>
      </c>
      <c r="E741" s="5">
        <f>6.59039805</f>
        <v>6.5903980500000001</v>
      </c>
      <c r="F741" s="1">
        <v>11</v>
      </c>
      <c r="G741" s="1">
        <v>9</v>
      </c>
      <c r="H741" s="5">
        <f t="shared" si="11"/>
        <v>543.84198181168733</v>
      </c>
    </row>
    <row r="742" spans="1:8" x14ac:dyDescent="0.2">
      <c r="A742" s="5">
        <f>544.68743</f>
        <v>544.68742999999995</v>
      </c>
      <c r="B742" s="3">
        <f>25000</f>
        <v>25000</v>
      </c>
      <c r="C742" s="1" t="s">
        <v>14</v>
      </c>
      <c r="D742" s="5">
        <f>1.60789577</f>
        <v>1.6078957700000001</v>
      </c>
      <c r="E742" s="5">
        <f>3.88350907</f>
        <v>3.8835090700000001</v>
      </c>
      <c r="F742" s="1">
        <v>5</v>
      </c>
      <c r="G742" s="1">
        <v>7</v>
      </c>
      <c r="H742" s="5">
        <f t="shared" si="11"/>
        <v>544.39503595345616</v>
      </c>
    </row>
    <row r="743" spans="1:8" x14ac:dyDescent="0.2">
      <c r="A743" s="5">
        <f>544.69164</f>
        <v>544.69164000000001</v>
      </c>
      <c r="B743" s="3">
        <f>548000</f>
        <v>548000</v>
      </c>
      <c r="C743" s="1" t="s">
        <v>14</v>
      </c>
      <c r="D743" s="5">
        <f>0.99011115</f>
        <v>0.99011115000000005</v>
      </c>
      <c r="E743" s="5">
        <f>3.2657061</f>
        <v>3.2657061000000001</v>
      </c>
      <c r="F743" s="1">
        <v>5</v>
      </c>
      <c r="G743" s="1">
        <v>5</v>
      </c>
      <c r="H743" s="5">
        <f t="shared" si="11"/>
        <v>544.39942585988911</v>
      </c>
    </row>
    <row r="744" spans="1:8" x14ac:dyDescent="0.2">
      <c r="A744" s="5">
        <f>545.56092</f>
        <v>545.56092000000001</v>
      </c>
      <c r="B744" s="3">
        <f>605000</f>
        <v>605000</v>
      </c>
      <c r="C744" s="1" t="s">
        <v>14</v>
      </c>
      <c r="D744" s="5">
        <f>1.01105568</f>
        <v>1.0110556799999999</v>
      </c>
      <c r="E744" s="5">
        <f>3.28302483</f>
        <v>3.28302483</v>
      </c>
      <c r="F744" s="1">
        <v>3</v>
      </c>
      <c r="G744" s="1">
        <v>3</v>
      </c>
      <c r="H744" s="5">
        <f t="shared" si="11"/>
        <v>545.26822438133138</v>
      </c>
    </row>
    <row r="745" spans="1:8" x14ac:dyDescent="0.2">
      <c r="A745" s="5">
        <f>546.15495</f>
        <v>546.15494999999999</v>
      </c>
      <c r="B745" s="3">
        <f>420000</f>
        <v>420000</v>
      </c>
      <c r="C745" s="1" t="s">
        <v>10</v>
      </c>
      <c r="D745" s="5">
        <f>4.44562726</f>
        <v>4.4456272600000002</v>
      </c>
      <c r="E745" s="5">
        <f>6.71512541</f>
        <v>6.7151254099999997</v>
      </c>
      <c r="F745" s="1">
        <v>5</v>
      </c>
      <c r="G745" s="1">
        <v>7</v>
      </c>
      <c r="H745" s="5">
        <f t="shared" si="11"/>
        <v>545.8619053157912</v>
      </c>
    </row>
    <row r="746" spans="1:8" x14ac:dyDescent="0.2">
      <c r="A746" s="5">
        <f>546.32759</f>
        <v>546.32758999999999</v>
      </c>
      <c r="B746" s="3">
        <f>29000000</f>
        <v>29000000</v>
      </c>
      <c r="C746" s="1" t="s">
        <v>15</v>
      </c>
      <c r="D746" s="5">
        <f>4.43461275</f>
        <v>4.4346127500000003</v>
      </c>
      <c r="E746" s="5">
        <f>6.7033939</f>
        <v>6.7033939</v>
      </c>
      <c r="F746" s="1">
        <v>9</v>
      </c>
      <c r="G746" s="1">
        <v>9</v>
      </c>
      <c r="H746" s="5">
        <f t="shared" si="11"/>
        <v>546.03441335435252</v>
      </c>
    </row>
    <row r="747" spans="1:8" x14ac:dyDescent="0.2">
      <c r="A747" s="5">
        <f>546.42792</f>
        <v>546.42791999999997</v>
      </c>
      <c r="B747" s="3">
        <f>1770000</f>
        <v>1770000</v>
      </c>
      <c r="C747" s="1" t="s">
        <v>15</v>
      </c>
      <c r="D747" s="5">
        <f>4.14264893</f>
        <v>4.14264893</v>
      </c>
      <c r="E747" s="5">
        <f>6.411013</f>
        <v>6.4110129999999996</v>
      </c>
      <c r="F747" s="1">
        <v>7</v>
      </c>
      <c r="G747" s="1">
        <v>5</v>
      </c>
      <c r="H747" s="5">
        <f t="shared" si="11"/>
        <v>546.13481171462183</v>
      </c>
    </row>
    <row r="748" spans="1:8" x14ac:dyDescent="0.2">
      <c r="A748" s="5">
        <f>546.69874</f>
        <v>546.69874000000004</v>
      </c>
      <c r="B748" s="3">
        <f>145000</f>
        <v>145000</v>
      </c>
      <c r="C748" s="1" t="s">
        <v>15</v>
      </c>
      <c r="D748" s="5">
        <f>3.5732189</f>
        <v>3.5732189000000001</v>
      </c>
      <c r="E748" s="5">
        <f>5.84045966</f>
        <v>5.8404596599999996</v>
      </c>
      <c r="F748" s="1">
        <v>11</v>
      </c>
      <c r="G748" s="1">
        <v>9</v>
      </c>
      <c r="H748" s="5">
        <f t="shared" si="11"/>
        <v>546.40539554769794</v>
      </c>
    </row>
    <row r="749" spans="1:8" x14ac:dyDescent="0.2">
      <c r="A749" s="5">
        <f>547.00936</f>
        <v>547.00936000000002</v>
      </c>
      <c r="B749" s="3">
        <f>1200000</f>
        <v>1200000</v>
      </c>
      <c r="C749" s="1" t="s">
        <v>10</v>
      </c>
      <c r="D749" s="5">
        <f>4.44562726</f>
        <v>4.4456272600000002</v>
      </c>
      <c r="E749" s="5">
        <f>6.71158094</f>
        <v>6.7115809400000002</v>
      </c>
      <c r="F749" s="1">
        <v>5</v>
      </c>
      <c r="G749" s="1">
        <v>3</v>
      </c>
      <c r="H749" s="5">
        <f t="shared" si="11"/>
        <v>546.7157582275305</v>
      </c>
    </row>
    <row r="750" spans="1:8" x14ac:dyDescent="0.2">
      <c r="A750" s="5">
        <f>547.27087</f>
        <v>547.27086999999995</v>
      </c>
      <c r="B750" s="3">
        <f>2370000</f>
        <v>2370000</v>
      </c>
      <c r="C750" s="1" t="s">
        <v>13</v>
      </c>
      <c r="D750" s="5">
        <f>4.20888328</f>
        <v>4.2088832800000002</v>
      </c>
      <c r="E750" s="5">
        <f>6.47375371</f>
        <v>6.4737537100000004</v>
      </c>
      <c r="F750" s="1">
        <v>5</v>
      </c>
      <c r="G750" s="1">
        <v>3</v>
      </c>
      <c r="H750" s="5">
        <f t="shared" si="11"/>
        <v>546.97724331614984</v>
      </c>
    </row>
    <row r="751" spans="1:8" x14ac:dyDescent="0.2">
      <c r="A751" s="5">
        <f>547.3164</f>
        <v>547.31640000000004</v>
      </c>
      <c r="B751" s="3">
        <f>350000</f>
        <v>350000</v>
      </c>
      <c r="C751" s="1" t="s">
        <v>10</v>
      </c>
      <c r="D751" s="5">
        <f>4.19086081</f>
        <v>4.1908608100000002</v>
      </c>
      <c r="E751" s="5">
        <f>6.45554341</f>
        <v>6.4555434099999998</v>
      </c>
      <c r="F751" s="1">
        <v>5</v>
      </c>
      <c r="G751" s="1">
        <v>5</v>
      </c>
      <c r="H751" s="5">
        <f t="shared" si="11"/>
        <v>547.02260893851667</v>
      </c>
    </row>
    <row r="752" spans="1:8" x14ac:dyDescent="0.2">
      <c r="A752" s="5">
        <f>547.39001</f>
        <v>547.39000999999996</v>
      </c>
      <c r="B752" s="3">
        <f>5200000</f>
        <v>5200000</v>
      </c>
      <c r="C752" s="1" t="s">
        <v>12</v>
      </c>
      <c r="D752" s="5">
        <f>4.15435379</f>
        <v>4.15435379</v>
      </c>
      <c r="E752" s="5">
        <f>6.41873101</f>
        <v>6.4187310100000001</v>
      </c>
      <c r="F752" s="1">
        <v>7</v>
      </c>
      <c r="G752" s="1">
        <v>7</v>
      </c>
      <c r="H752" s="5">
        <f t="shared" si="11"/>
        <v>547.09638187830865</v>
      </c>
    </row>
    <row r="753" spans="1:8" x14ac:dyDescent="0.2">
      <c r="A753" s="5">
        <f>547.62882</f>
        <v>547.62882000000002</v>
      </c>
      <c r="B753" s="3">
        <f>2870000</f>
        <v>2870000</v>
      </c>
      <c r="C753" s="1" t="s">
        <v>13</v>
      </c>
      <c r="D753" s="5">
        <f>4.14264893</f>
        <v>4.14264893</v>
      </c>
      <c r="E753" s="5">
        <f>6.40603863</f>
        <v>6.4060386300000003</v>
      </c>
      <c r="F753" s="1">
        <v>7</v>
      </c>
      <c r="G753" s="1">
        <v>9</v>
      </c>
      <c r="H753" s="5">
        <f t="shared" si="11"/>
        <v>547.33508077272904</v>
      </c>
    </row>
    <row r="754" spans="1:8" x14ac:dyDescent="0.2">
      <c r="A754" s="5">
        <f>547.65639</f>
        <v>547.65638999999999</v>
      </c>
      <c r="B754" s="3">
        <f>8700000</f>
        <v>8700000</v>
      </c>
      <c r="C754" s="1" t="s">
        <v>13</v>
      </c>
      <c r="D754" s="5">
        <f>4.10337372</f>
        <v>4.1033737199999996</v>
      </c>
      <c r="E754" s="5">
        <f>6.36664959</f>
        <v>6.3666495899999997</v>
      </c>
      <c r="F754" s="1">
        <v>9</v>
      </c>
      <c r="G754" s="1">
        <v>9</v>
      </c>
      <c r="H754" s="5">
        <f t="shared" si="11"/>
        <v>547.36260863756877</v>
      </c>
    </row>
    <row r="755" spans="1:8" x14ac:dyDescent="0.2">
      <c r="A755" s="5">
        <f>547.84552</f>
        <v>547.84551999999996</v>
      </c>
      <c r="B755" s="3">
        <f>680000</f>
        <v>680000</v>
      </c>
      <c r="C755" s="1" t="s">
        <v>10</v>
      </c>
      <c r="D755" s="5">
        <f>4.19086081</f>
        <v>4.1908608100000002</v>
      </c>
      <c r="E755" s="5">
        <f>6.45335558</f>
        <v>6.4533555800000002</v>
      </c>
      <c r="F755" s="1">
        <v>5</v>
      </c>
      <c r="G755" s="1">
        <v>5</v>
      </c>
      <c r="H755" s="5">
        <f t="shared" si="11"/>
        <v>547.55157921079433</v>
      </c>
    </row>
    <row r="756" spans="1:8" x14ac:dyDescent="0.2">
      <c r="A756" s="5">
        <f>548.08604</f>
        <v>548.08604000000003</v>
      </c>
      <c r="B756" s="3">
        <f>13000000</f>
        <v>13000000</v>
      </c>
      <c r="C756" s="1" t="s">
        <v>12</v>
      </c>
      <c r="D756" s="5">
        <f>4.21758325</f>
        <v>4.2175832499999997</v>
      </c>
      <c r="E756" s="5">
        <f>6.47908516</f>
        <v>6.4790851600000003</v>
      </c>
      <c r="F756" s="1">
        <v>3</v>
      </c>
      <c r="G756" s="1">
        <v>1</v>
      </c>
      <c r="H756" s="5">
        <f t="shared" si="11"/>
        <v>547.79196904134506</v>
      </c>
    </row>
    <row r="757" spans="1:8" x14ac:dyDescent="0.2">
      <c r="A757" s="5">
        <f>548.12427</f>
        <v>548.12427000000002</v>
      </c>
      <c r="B757" s="3">
        <f>1410000</f>
        <v>1410000</v>
      </c>
      <c r="C757" s="1" t="s">
        <v>6</v>
      </c>
      <c r="D757" s="5">
        <f>4.10337372</f>
        <v>4.1033737199999996</v>
      </c>
      <c r="E757" s="5">
        <f>6.36471779</f>
        <v>6.3647177900000003</v>
      </c>
      <c r="F757" s="1">
        <v>9</v>
      </c>
      <c r="G757" s="1">
        <v>9</v>
      </c>
      <c r="H757" s="5">
        <f t="shared" si="11"/>
        <v>547.83020448085222</v>
      </c>
    </row>
    <row r="758" spans="1:8" x14ac:dyDescent="0.2">
      <c r="A758" s="5">
        <f>548.14383</f>
        <v>548.14382999999998</v>
      </c>
      <c r="B758" s="3">
        <f>2800000</f>
        <v>2800000</v>
      </c>
      <c r="C758" s="1" t="s">
        <v>10</v>
      </c>
      <c r="D758" s="5">
        <f>4.19086081</f>
        <v>4.1908608100000002</v>
      </c>
      <c r="E758" s="5">
        <f>6.4521243</f>
        <v>6.4521243000000004</v>
      </c>
      <c r="F758" s="1">
        <v>5</v>
      </c>
      <c r="G758" s="1">
        <v>3</v>
      </c>
      <c r="H758" s="5">
        <f t="shared" si="11"/>
        <v>547.84972638003489</v>
      </c>
    </row>
    <row r="759" spans="1:8" x14ac:dyDescent="0.2">
      <c r="A759" s="5">
        <f>548.30985</f>
        <v>548.30984999999998</v>
      </c>
      <c r="B759" s="3">
        <f>1740000</f>
        <v>1740000</v>
      </c>
      <c r="C759" s="1" t="s">
        <v>6</v>
      </c>
      <c r="D759" s="5">
        <f>4.15435379</f>
        <v>4.15435379</v>
      </c>
      <c r="E759" s="5">
        <f>6.41493251</f>
        <v>6.4149325099999999</v>
      </c>
      <c r="F759" s="1">
        <v>7</v>
      </c>
      <c r="G759" s="1">
        <v>5</v>
      </c>
      <c r="H759" s="5">
        <f t="shared" si="11"/>
        <v>548.01567992715741</v>
      </c>
    </row>
    <row r="760" spans="1:8" x14ac:dyDescent="0.2">
      <c r="A760" s="5">
        <f>548.71448</f>
        <v>548.71447999999998</v>
      </c>
      <c r="B760" s="3">
        <f>990000</f>
        <v>990000</v>
      </c>
      <c r="C760" s="1" t="s">
        <v>10</v>
      </c>
      <c r="D760" s="5">
        <f>4.41527878</f>
        <v>4.4152787800000004</v>
      </c>
      <c r="E760" s="5">
        <f>6.67419029</f>
        <v>6.6741902900000003</v>
      </c>
      <c r="F760" s="1">
        <v>7</v>
      </c>
      <c r="G760" s="1">
        <v>7</v>
      </c>
      <c r="H760" s="5">
        <f t="shared" si="11"/>
        <v>548.42014783910815</v>
      </c>
    </row>
    <row r="761" spans="1:8" x14ac:dyDescent="0.2">
      <c r="A761" s="5">
        <f>549.18311</f>
        <v>549.18311000000006</v>
      </c>
      <c r="B761" s="3">
        <f>205000</f>
        <v>205000</v>
      </c>
      <c r="C761" s="1" t="s">
        <v>6</v>
      </c>
      <c r="D761" s="5">
        <f>4.1863644</f>
        <v>4.1863644000000004</v>
      </c>
      <c r="E761" s="5">
        <f>6.44334733</f>
        <v>6.4433473299999999</v>
      </c>
      <c r="F761" s="1">
        <v>5</v>
      </c>
      <c r="G761" s="1">
        <v>7</v>
      </c>
      <c r="H761" s="5">
        <f t="shared" si="11"/>
        <v>548.88876996055228</v>
      </c>
    </row>
    <row r="762" spans="1:8" x14ac:dyDescent="0.2">
      <c r="A762" s="5">
        <f>549.34985</f>
        <v>549.34984999999995</v>
      </c>
      <c r="B762" s="3">
        <f>500000</f>
        <v>500000</v>
      </c>
      <c r="C762" s="1" t="s">
        <v>10</v>
      </c>
      <c r="D762" s="5">
        <f>4.10337372</f>
        <v>4.1033737199999996</v>
      </c>
      <c r="E762" s="5">
        <f>6.35967275</f>
        <v>6.3596727499999997</v>
      </c>
      <c r="F762" s="1">
        <v>9</v>
      </c>
      <c r="G762" s="1">
        <v>7</v>
      </c>
      <c r="H762" s="5">
        <f t="shared" si="11"/>
        <v>549.0551419816295</v>
      </c>
    </row>
    <row r="763" spans="1:8" x14ac:dyDescent="0.2">
      <c r="A763" s="5">
        <f>549.4462</f>
        <v>549.44619999999998</v>
      </c>
      <c r="B763" s="3">
        <f>180000</f>
        <v>180000</v>
      </c>
      <c r="C763" s="1" t="s">
        <v>10</v>
      </c>
      <c r="D763" s="5">
        <f>4.07581091</f>
        <v>4.0758109100000004</v>
      </c>
      <c r="E763" s="5">
        <f>6.33171407</f>
        <v>6.3317140700000003</v>
      </c>
      <c r="F763" s="1">
        <v>9</v>
      </c>
      <c r="G763" s="1">
        <v>11</v>
      </c>
      <c r="H763" s="5">
        <f t="shared" si="11"/>
        <v>549.15149117910846</v>
      </c>
    </row>
    <row r="764" spans="1:8" x14ac:dyDescent="0.2">
      <c r="A764" s="5">
        <f>549.75157</f>
        <v>549.75157000000002</v>
      </c>
      <c r="B764" s="3">
        <f>62500</f>
        <v>62500</v>
      </c>
      <c r="C764" s="1" t="s">
        <v>11</v>
      </c>
      <c r="D764" s="5">
        <f>1.01105568</f>
        <v>1.0110556799999999</v>
      </c>
      <c r="E764" s="5">
        <f>3.2657061</f>
        <v>3.2657061000000001</v>
      </c>
      <c r="F764" s="1">
        <v>3</v>
      </c>
      <c r="G764" s="1">
        <v>5</v>
      </c>
      <c r="H764" s="5">
        <f t="shared" si="11"/>
        <v>549.45661344239033</v>
      </c>
    </row>
    <row r="765" spans="1:8" x14ac:dyDescent="0.2">
      <c r="A765" s="5">
        <f>550.14649</f>
        <v>550.14648999999997</v>
      </c>
      <c r="B765" s="3">
        <f>22000</f>
        <v>22000</v>
      </c>
      <c r="C765" s="1" t="s">
        <v>13</v>
      </c>
      <c r="D765" s="5">
        <f>0.95815732</f>
        <v>0.95815731999999998</v>
      </c>
      <c r="E765" s="5">
        <f>3.21118938</f>
        <v>3.21118938</v>
      </c>
      <c r="F765" s="1">
        <v>7</v>
      </c>
      <c r="G765" s="1">
        <v>9</v>
      </c>
      <c r="H765" s="5">
        <f t="shared" si="11"/>
        <v>549.85128985233484</v>
      </c>
    </row>
    <row r="766" spans="1:8" x14ac:dyDescent="0.2">
      <c r="A766" s="5">
        <f>550.67788</f>
        <v>550.67787999999996</v>
      </c>
      <c r="B766" s="3">
        <f>50100</f>
        <v>50100</v>
      </c>
      <c r="C766" s="1" t="s">
        <v>11</v>
      </c>
      <c r="D766" s="5">
        <f>0.99011115</f>
        <v>0.99011115000000005</v>
      </c>
      <c r="E766" s="5">
        <f>3.24096914</f>
        <v>3.2409691399999998</v>
      </c>
      <c r="F766" s="1">
        <v>5</v>
      </c>
      <c r="G766" s="1">
        <v>7</v>
      </c>
      <c r="H766" s="5">
        <f t="shared" si="11"/>
        <v>550.38238297284283</v>
      </c>
    </row>
    <row r="767" spans="1:8" x14ac:dyDescent="0.2">
      <c r="A767" s="5">
        <f>551.22563</f>
        <v>551.22563000000002</v>
      </c>
      <c r="B767" s="3">
        <f>990000</f>
        <v>990000</v>
      </c>
      <c r="C767" s="1" t="s">
        <v>10</v>
      </c>
      <c r="D767" s="5">
        <f>4.37135106</f>
        <v>4.3713510600000003</v>
      </c>
      <c r="E767" s="5">
        <f>6.61997175</f>
        <v>6.6199717500000004</v>
      </c>
      <c r="F767" s="1">
        <v>9</v>
      </c>
      <c r="G767" s="1">
        <v>9</v>
      </c>
      <c r="H767" s="5">
        <f t="shared" si="11"/>
        <v>550.92999445347232</v>
      </c>
    </row>
    <row r="768" spans="1:8" x14ac:dyDescent="0.2">
      <c r="A768" s="5">
        <f>551.7065</f>
        <v>551.70650000000001</v>
      </c>
      <c r="B768" s="3">
        <f>200000</f>
        <v>200000</v>
      </c>
      <c r="C768" s="1" t="s">
        <v>10</v>
      </c>
      <c r="D768" s="5">
        <f>4.20888328</f>
        <v>4.2088832800000002</v>
      </c>
      <c r="E768" s="5">
        <f>6.45554341</f>
        <v>6.4555434099999998</v>
      </c>
      <c r="F768" s="1">
        <v>5</v>
      </c>
      <c r="G768" s="1">
        <v>5</v>
      </c>
      <c r="H768" s="5">
        <f t="shared" si="11"/>
        <v>551.41076646500301</v>
      </c>
    </row>
    <row r="769" spans="1:8" x14ac:dyDescent="0.2">
      <c r="A769" s="5">
        <f>552.24461</f>
        <v>552.24460999999997</v>
      </c>
      <c r="B769" s="3">
        <f>1300000</f>
        <v>1300000</v>
      </c>
      <c r="C769" s="1" t="s">
        <v>12</v>
      </c>
      <c r="D769" s="5">
        <f>4.20888328</f>
        <v>4.2088832800000002</v>
      </c>
      <c r="E769" s="5">
        <f>6.45335558</f>
        <v>6.4533555800000002</v>
      </c>
      <c r="F769" s="1">
        <v>5</v>
      </c>
      <c r="G769" s="1">
        <v>5</v>
      </c>
      <c r="H769" s="5">
        <f t="shared" si="11"/>
        <v>551.94826163355322</v>
      </c>
    </row>
    <row r="770" spans="1:8" x14ac:dyDescent="0.2">
      <c r="A770" s="5">
        <f>552.55439</f>
        <v>552.55439000000001</v>
      </c>
      <c r="B770" s="3">
        <f>6000000</f>
        <v>6000000</v>
      </c>
      <c r="C770" s="1" t="s">
        <v>13</v>
      </c>
      <c r="D770" s="5">
        <f>4.2305396</f>
        <v>4.2305396000000002</v>
      </c>
      <c r="E770" s="5">
        <f>6.47375371</f>
        <v>6.4737537100000004</v>
      </c>
      <c r="F770" s="1">
        <v>1</v>
      </c>
      <c r="G770" s="1">
        <v>3</v>
      </c>
      <c r="H770" s="5">
        <f t="shared" si="11"/>
        <v>552.25784232859655</v>
      </c>
    </row>
    <row r="771" spans="1:8" x14ac:dyDescent="0.2">
      <c r="A771" s="5">
        <f>552.91598</f>
        <v>552.91597999999999</v>
      </c>
      <c r="B771" s="3">
        <f>51000</f>
        <v>51000</v>
      </c>
      <c r="C771" s="1" t="s">
        <v>10</v>
      </c>
      <c r="D771" s="5">
        <f>3.64164057</f>
        <v>3.6416405699999999</v>
      </c>
      <c r="E771" s="5">
        <f>5.88338708</f>
        <v>5.8833870800000003</v>
      </c>
      <c r="F771" s="1">
        <v>7</v>
      </c>
      <c r="G771" s="1">
        <v>9</v>
      </c>
      <c r="H771" s="5">
        <f t="shared" ref="H771:H834" si="12">$J$2*$J$1/((E771-D771)*$J$3)*1000000000</f>
        <v>552.61938793858667</v>
      </c>
    </row>
    <row r="772" spans="1:8" x14ac:dyDescent="0.2">
      <c r="A772" s="5">
        <f>553.1984</f>
        <v>553.19839999999999</v>
      </c>
      <c r="B772" s="3">
        <f>610000</f>
        <v>610000</v>
      </c>
      <c r="C772" s="1" t="s">
        <v>10</v>
      </c>
      <c r="D772" s="5">
        <f>4.91297355</f>
        <v>4.9129735500000002</v>
      </c>
      <c r="E772" s="5">
        <f>7.15357742</f>
        <v>7.1535774200000004</v>
      </c>
      <c r="F772" s="1">
        <v>9</v>
      </c>
      <c r="G772" s="1">
        <v>9</v>
      </c>
      <c r="H772" s="5">
        <f t="shared" si="12"/>
        <v>552.90120706149753</v>
      </c>
    </row>
    <row r="773" spans="1:8" x14ac:dyDescent="0.2">
      <c r="A773" s="5">
        <f>553.27468</f>
        <v>553.27467999999999</v>
      </c>
      <c r="B773" s="3">
        <f>190000</f>
        <v>190000</v>
      </c>
      <c r="C773" s="1" t="s">
        <v>10</v>
      </c>
      <c r="D773" s="5">
        <f>3.5732189</f>
        <v>3.5732189000000001</v>
      </c>
      <c r="E773" s="5">
        <f>5.81351269</f>
        <v>5.8135126899999996</v>
      </c>
      <c r="F773" s="1">
        <v>11</v>
      </c>
      <c r="G773" s="1">
        <v>9</v>
      </c>
      <c r="H773" s="5">
        <f t="shared" si="12"/>
        <v>552.97773434870044</v>
      </c>
    </row>
    <row r="774" spans="1:8" x14ac:dyDescent="0.2">
      <c r="A774" s="5">
        <f>553.54175</f>
        <v>553.54174999999998</v>
      </c>
      <c r="B774" s="3">
        <f>2160000</f>
        <v>2160000</v>
      </c>
      <c r="C774" s="1" t="s">
        <v>6</v>
      </c>
      <c r="D774" s="5">
        <f>4.1863644</f>
        <v>4.1863644000000004</v>
      </c>
      <c r="E774" s="5">
        <f>6.42557692</f>
        <v>6.4255769200000001</v>
      </c>
      <c r="F774" s="1">
        <v>5</v>
      </c>
      <c r="G774" s="1">
        <v>7</v>
      </c>
      <c r="H774" s="5">
        <f t="shared" si="12"/>
        <v>553.24475600451865</v>
      </c>
    </row>
    <row r="775" spans="1:8" x14ac:dyDescent="0.2">
      <c r="A775" s="5">
        <f>553.658</f>
        <v>553.65800000000002</v>
      </c>
      <c r="B775" s="3">
        <f>8100</f>
        <v>8100</v>
      </c>
      <c r="C775" s="1" t="s">
        <v>10</v>
      </c>
      <c r="D775" s="5">
        <f>2.83159117</f>
        <v>2.8315911699999998</v>
      </c>
      <c r="E775" s="5">
        <f>5.07033256</f>
        <v>5.0703325599999998</v>
      </c>
      <c r="F775" s="1">
        <v>5</v>
      </c>
      <c r="G775" s="1">
        <v>5</v>
      </c>
      <c r="H775" s="5">
        <f t="shared" si="12"/>
        <v>553.36118311979885</v>
      </c>
    </row>
    <row r="776" spans="1:8" x14ac:dyDescent="0.2">
      <c r="A776" s="5">
        <f>553.92796</f>
        <v>553.92795999999998</v>
      </c>
      <c r="B776" s="3">
        <f>110000</f>
        <v>110000</v>
      </c>
      <c r="C776" s="1" t="s">
        <v>10</v>
      </c>
      <c r="D776" s="5">
        <f>3.64164057</f>
        <v>3.6416405699999999</v>
      </c>
      <c r="E776" s="5">
        <f>5.87929188</f>
        <v>5.8792918800000002</v>
      </c>
      <c r="F776" s="1">
        <v>7</v>
      </c>
      <c r="G776" s="1">
        <v>5</v>
      </c>
      <c r="H776" s="5">
        <f t="shared" si="12"/>
        <v>553.63075503915877</v>
      </c>
    </row>
    <row r="777" spans="1:8" x14ac:dyDescent="0.2">
      <c r="A777" s="5">
        <f>554.39353</f>
        <v>554.39353000000006</v>
      </c>
      <c r="B777" s="3">
        <f>3400000</f>
        <v>3400000</v>
      </c>
      <c r="C777" s="1" t="s">
        <v>12</v>
      </c>
      <c r="D777" s="5">
        <f>4.21758325</f>
        <v>4.2175832499999997</v>
      </c>
      <c r="E777" s="5">
        <f>6.45335558</f>
        <v>6.4533555800000002</v>
      </c>
      <c r="F777" s="1">
        <v>3</v>
      </c>
      <c r="G777" s="1">
        <v>5</v>
      </c>
      <c r="H777" s="5">
        <f t="shared" si="12"/>
        <v>554.09603547140364</v>
      </c>
    </row>
    <row r="778" spans="1:8" x14ac:dyDescent="0.2">
      <c r="A778" s="5">
        <f>554.65055</f>
        <v>554.65054999999995</v>
      </c>
      <c r="B778" s="3">
        <f>1000000</f>
        <v>1000000</v>
      </c>
      <c r="C778" s="1" t="s">
        <v>12</v>
      </c>
      <c r="D778" s="5">
        <f>4.37135106</f>
        <v>4.3713510600000003</v>
      </c>
      <c r="E778" s="5">
        <f>6.6060875</f>
        <v>6.6060875000000001</v>
      </c>
      <c r="F778" s="1">
        <v>9</v>
      </c>
      <c r="G778" s="1">
        <v>11</v>
      </c>
      <c r="H778" s="5">
        <f t="shared" si="12"/>
        <v>554.35288121478118</v>
      </c>
    </row>
    <row r="779" spans="1:8" x14ac:dyDescent="0.2">
      <c r="A779" s="5">
        <f>554.6992</f>
        <v>554.69920000000002</v>
      </c>
      <c r="B779" s="3">
        <f>960000</f>
        <v>960000</v>
      </c>
      <c r="C779" s="1" t="s">
        <v>10</v>
      </c>
      <c r="D779" s="5">
        <f>4.21758325</f>
        <v>4.2175832499999997</v>
      </c>
      <c r="E779" s="5">
        <f>6.4521243</f>
        <v>6.4521243000000004</v>
      </c>
      <c r="F779" s="1">
        <v>3</v>
      </c>
      <c r="G779" s="1">
        <v>3</v>
      </c>
      <c r="H779" s="5">
        <f t="shared" si="12"/>
        <v>554.40135426004485</v>
      </c>
    </row>
    <row r="780" spans="1:8" x14ac:dyDescent="0.2">
      <c r="A780" s="5">
        <f>554.9952</f>
        <v>554.99519999999995</v>
      </c>
      <c r="B780" s="3">
        <f>33000</f>
        <v>33000</v>
      </c>
      <c r="C780" s="1" t="s">
        <v>10</v>
      </c>
      <c r="D780" s="5">
        <f>3.69459719</f>
        <v>3.6945971900000001</v>
      </c>
      <c r="E780" s="5">
        <f>5.92794713</f>
        <v>5.9279471299999997</v>
      </c>
      <c r="F780" s="1">
        <v>9</v>
      </c>
      <c r="G780" s="1">
        <v>9</v>
      </c>
      <c r="H780" s="5">
        <f t="shared" si="12"/>
        <v>554.69703250788507</v>
      </c>
    </row>
    <row r="781" spans="1:8" x14ac:dyDescent="0.2">
      <c r="A781" s="5">
        <f>555.2693</f>
        <v>555.26930000000004</v>
      </c>
      <c r="B781" s="3">
        <f>450000</f>
        <v>450000</v>
      </c>
      <c r="C781" s="1" t="s">
        <v>10</v>
      </c>
      <c r="D781" s="5">
        <f>4.95563019</f>
        <v>4.9556301899999999</v>
      </c>
      <c r="E781" s="5">
        <f>7.1878769</f>
        <v>7.1878769</v>
      </c>
      <c r="F781" s="1">
        <v>7</v>
      </c>
      <c r="G781" s="1">
        <v>5</v>
      </c>
      <c r="H781" s="5">
        <f t="shared" si="12"/>
        <v>554.97117711942474</v>
      </c>
    </row>
    <row r="782" spans="1:8" x14ac:dyDescent="0.2">
      <c r="A782" s="5">
        <f>555.35774</f>
        <v>555.35774000000004</v>
      </c>
      <c r="B782" s="3">
        <f>990000</f>
        <v>990000</v>
      </c>
      <c r="C782" s="1" t="s">
        <v>10</v>
      </c>
      <c r="D782" s="5">
        <f>4.43461275</f>
        <v>4.4346127500000003</v>
      </c>
      <c r="E782" s="5">
        <f>6.66650376</f>
        <v>6.6665037600000003</v>
      </c>
      <c r="F782" s="1">
        <v>9</v>
      </c>
      <c r="G782" s="1">
        <v>9</v>
      </c>
      <c r="H782" s="5">
        <f t="shared" si="12"/>
        <v>555.05962375360934</v>
      </c>
    </row>
    <row r="783" spans="1:8" x14ac:dyDescent="0.2">
      <c r="A783" s="5">
        <f>555.79818</f>
        <v>555.79818</v>
      </c>
      <c r="B783" s="3">
        <f>1300000</f>
        <v>1300000</v>
      </c>
      <c r="C783" s="1" t="s">
        <v>10</v>
      </c>
      <c r="D783" s="5">
        <f>4.47327202</f>
        <v>4.4732720199999996</v>
      </c>
      <c r="E783" s="5">
        <f>6.7033939</f>
        <v>6.7033939</v>
      </c>
      <c r="F783" s="1">
        <v>7</v>
      </c>
      <c r="G783" s="1">
        <v>9</v>
      </c>
      <c r="H783" s="5">
        <f t="shared" si="12"/>
        <v>555.49994615974208</v>
      </c>
    </row>
    <row r="784" spans="1:8" x14ac:dyDescent="0.2">
      <c r="A784" s="5">
        <f>556.02112</f>
        <v>556.02112</v>
      </c>
      <c r="B784" s="3">
        <f>2100000</f>
        <v>2100000</v>
      </c>
      <c r="C784" s="1" t="s">
        <v>12</v>
      </c>
      <c r="D784" s="5">
        <f>4.43461275</f>
        <v>4.4346127500000003</v>
      </c>
      <c r="E784" s="5">
        <f>6.66384071</f>
        <v>6.6638407099999997</v>
      </c>
      <c r="F784" s="1">
        <v>9</v>
      </c>
      <c r="G784" s="1">
        <v>7</v>
      </c>
      <c r="H784" s="5">
        <f t="shared" si="12"/>
        <v>555.7227015354963</v>
      </c>
    </row>
    <row r="785" spans="1:8" x14ac:dyDescent="0.2">
      <c r="A785" s="5">
        <f>556.35999</f>
        <v>556.35999000000004</v>
      </c>
      <c r="B785" s="3">
        <f>3400000</f>
        <v>3400000</v>
      </c>
      <c r="C785" s="1" t="s">
        <v>12</v>
      </c>
      <c r="D785" s="5">
        <f>4.19086081</f>
        <v>4.1908608100000002</v>
      </c>
      <c r="E785" s="5">
        <f>6.41873101</f>
        <v>6.4187310100000001</v>
      </c>
      <c r="F785" s="1">
        <v>5</v>
      </c>
      <c r="G785" s="1">
        <v>7</v>
      </c>
      <c r="H785" s="5">
        <f t="shared" si="12"/>
        <v>556.06138287125657</v>
      </c>
    </row>
    <row r="786" spans="1:8" x14ac:dyDescent="0.2">
      <c r="A786" s="5">
        <f>556.73907</f>
        <v>556.73906999999997</v>
      </c>
      <c r="B786" s="3">
        <f>153000</f>
        <v>153000</v>
      </c>
      <c r="C786" s="1" t="s">
        <v>12</v>
      </c>
      <c r="D786" s="5">
        <f>2.60850194</f>
        <v>2.60850194</v>
      </c>
      <c r="E786" s="5">
        <f>4.83485507</f>
        <v>4.8348550699999997</v>
      </c>
      <c r="F786" s="1">
        <v>5</v>
      </c>
      <c r="G786" s="1">
        <v>3</v>
      </c>
      <c r="H786" s="5">
        <f t="shared" si="12"/>
        <v>556.44029133404501</v>
      </c>
    </row>
    <row r="787" spans="1:8" x14ac:dyDescent="0.2">
      <c r="A787" s="5">
        <f>556.96177</f>
        <v>556.96177</v>
      </c>
      <c r="B787" s="3">
        <f>23400000</f>
        <v>23400000</v>
      </c>
      <c r="C787" s="1" t="s">
        <v>13</v>
      </c>
      <c r="D787" s="5">
        <f>3.41695281</f>
        <v>3.4169528100000002</v>
      </c>
      <c r="E787" s="5">
        <f>5.64241573</f>
        <v>5.6424157299999997</v>
      </c>
      <c r="F787" s="1">
        <v>5</v>
      </c>
      <c r="G787" s="1">
        <v>3</v>
      </c>
      <c r="H787" s="5">
        <f t="shared" si="12"/>
        <v>556.66287365941071</v>
      </c>
    </row>
    <row r="788" spans="1:8" x14ac:dyDescent="0.2">
      <c r="A788" s="5">
        <f>557.2842</f>
        <v>557.28420000000006</v>
      </c>
      <c r="B788" s="3">
        <f>22800000</f>
        <v>22800000</v>
      </c>
      <c r="C788" s="1" t="s">
        <v>13</v>
      </c>
      <c r="D788" s="5">
        <f>3.3965088</f>
        <v>3.3965087999999999</v>
      </c>
      <c r="E788" s="5">
        <f>5.62068415</f>
        <v>5.6206841499999998</v>
      </c>
      <c r="F788" s="1">
        <v>7</v>
      </c>
      <c r="G788" s="1">
        <v>5</v>
      </c>
      <c r="H788" s="5">
        <f t="shared" si="12"/>
        <v>556.98512451802105</v>
      </c>
    </row>
    <row r="789" spans="1:8" x14ac:dyDescent="0.2">
      <c r="A789" s="5">
        <f>557.31021</f>
        <v>557.31020999999998</v>
      </c>
      <c r="B789" s="3">
        <f>2070000</f>
        <v>2070000</v>
      </c>
      <c r="C789" s="1" t="s">
        <v>6</v>
      </c>
      <c r="D789" s="5">
        <f>4.19086081</f>
        <v>4.1908608100000002</v>
      </c>
      <c r="E789" s="5">
        <f>6.41493251</f>
        <v>6.4149325099999999</v>
      </c>
      <c r="F789" s="1">
        <v>5</v>
      </c>
      <c r="G789" s="1">
        <v>5</v>
      </c>
      <c r="H789" s="5">
        <f t="shared" si="12"/>
        <v>557.01108209311019</v>
      </c>
    </row>
    <row r="790" spans="1:8" x14ac:dyDescent="0.2">
      <c r="A790" s="5">
        <f>557.60884</f>
        <v>557.60883999999999</v>
      </c>
      <c r="B790" s="3">
        <f>25000000</f>
        <v>25000000</v>
      </c>
      <c r="C790" s="1" t="s">
        <v>12</v>
      </c>
      <c r="D790" s="5">
        <f>3.43018998</f>
        <v>3.4301899800000002</v>
      </c>
      <c r="E790" s="5">
        <f>5.65307019</f>
        <v>5.6530701900000002</v>
      </c>
      <c r="F790" s="1">
        <v>3</v>
      </c>
      <c r="G790" s="1">
        <v>1</v>
      </c>
      <c r="H790" s="5">
        <f t="shared" si="12"/>
        <v>557.30964660019299</v>
      </c>
    </row>
    <row r="791" spans="1:8" x14ac:dyDescent="0.2">
      <c r="A791" s="5">
        <f>558.47643</f>
        <v>558.47643000000005</v>
      </c>
      <c r="B791" s="3">
        <f>130000</f>
        <v>130000</v>
      </c>
      <c r="C791" s="1" t="s">
        <v>10</v>
      </c>
      <c r="D791" s="5">
        <f>3.5732189</f>
        <v>3.5732189000000001</v>
      </c>
      <c r="E791" s="5">
        <f>5.79264615</f>
        <v>5.7926461500000004</v>
      </c>
      <c r="F791" s="1">
        <v>11</v>
      </c>
      <c r="G791" s="1">
        <v>9</v>
      </c>
      <c r="H791" s="5">
        <f t="shared" si="12"/>
        <v>558.17670269195025</v>
      </c>
    </row>
    <row r="792" spans="1:8" x14ac:dyDescent="0.2">
      <c r="A792" s="5">
        <f>558.67555</f>
        <v>558.67555000000004</v>
      </c>
      <c r="B792" s="3">
        <f>21900000</f>
        <v>21900000</v>
      </c>
      <c r="C792" s="1" t="s">
        <v>13</v>
      </c>
      <c r="D792" s="5">
        <f>3.3682564</f>
        <v>3.3682563999999999</v>
      </c>
      <c r="E792" s="5">
        <f>5.58689276</f>
        <v>5.5868927599999996</v>
      </c>
      <c r="F792" s="1">
        <v>9</v>
      </c>
      <c r="G792" s="1">
        <v>7</v>
      </c>
      <c r="H792" s="5">
        <f t="shared" si="12"/>
        <v>558.37567913547718</v>
      </c>
    </row>
    <row r="793" spans="1:8" x14ac:dyDescent="0.2">
      <c r="A793" s="5">
        <f>559.46549</f>
        <v>559.46549000000005</v>
      </c>
      <c r="B793" s="3">
        <f>5200000</f>
        <v>5200000</v>
      </c>
      <c r="C793" s="1" t="s">
        <v>13</v>
      </c>
      <c r="D793" s="5">
        <f>4.54850612</f>
        <v>4.5485061199999999</v>
      </c>
      <c r="E793" s="5">
        <f>6.76400977</f>
        <v>6.7640097700000004</v>
      </c>
      <c r="F793" s="1">
        <v>9</v>
      </c>
      <c r="G793" s="1">
        <v>9</v>
      </c>
      <c r="H793" s="5">
        <f t="shared" si="12"/>
        <v>559.16521928079987</v>
      </c>
    </row>
    <row r="794" spans="1:8" x14ac:dyDescent="0.2">
      <c r="A794" s="5">
        <f>560.02238</f>
        <v>560.02238</v>
      </c>
      <c r="B794" s="3">
        <f>2690000</f>
        <v>2690000</v>
      </c>
      <c r="C794" s="1" t="s">
        <v>13</v>
      </c>
      <c r="D794" s="5">
        <f>4.26045326</f>
        <v>4.2604532600000002</v>
      </c>
      <c r="E794" s="5">
        <f>6.47375371</f>
        <v>6.4737537100000004</v>
      </c>
      <c r="F794" s="1">
        <v>3</v>
      </c>
      <c r="G794" s="1">
        <v>3</v>
      </c>
      <c r="H794" s="5">
        <f t="shared" si="12"/>
        <v>559.72183273611267</v>
      </c>
    </row>
    <row r="795" spans="1:8" x14ac:dyDescent="0.2">
      <c r="A795" s="5">
        <f>560.2767</f>
        <v>560.27670000000001</v>
      </c>
      <c r="B795" s="3">
        <f>1730000</f>
        <v>1730000</v>
      </c>
      <c r="C795" s="1" t="s">
        <v>13</v>
      </c>
      <c r="D795" s="5">
        <f>4.15435379</f>
        <v>4.15435379</v>
      </c>
      <c r="E795" s="5">
        <f>6.36664959</f>
        <v>6.3666495899999997</v>
      </c>
      <c r="F795" s="1">
        <v>7</v>
      </c>
      <c r="G795" s="1">
        <v>9</v>
      </c>
      <c r="H795" s="5">
        <f t="shared" si="12"/>
        <v>559.97601417932594</v>
      </c>
    </row>
    <row r="796" spans="1:8" x14ac:dyDescent="0.2">
      <c r="A796" s="5">
        <f>560.29447</f>
        <v>560.29447000000005</v>
      </c>
      <c r="B796" s="3">
        <f>10000000</f>
        <v>10000000</v>
      </c>
      <c r="C796" s="1" t="s">
        <v>13</v>
      </c>
      <c r="D796" s="5">
        <f>3.43018998</f>
        <v>3.4301899800000002</v>
      </c>
      <c r="E796" s="5">
        <f>5.64241573</f>
        <v>5.6424157299999997</v>
      </c>
      <c r="F796" s="1">
        <v>3</v>
      </c>
      <c r="G796" s="1">
        <v>3</v>
      </c>
      <c r="H796" s="5">
        <f t="shared" si="12"/>
        <v>559.99374578731999</v>
      </c>
    </row>
    <row r="797" spans="1:8" x14ac:dyDescent="0.2">
      <c r="A797" s="5">
        <f>561.52962</f>
        <v>561.52962000000002</v>
      </c>
      <c r="B797" s="3">
        <f>239000</f>
        <v>239000</v>
      </c>
      <c r="C797" s="1" t="s">
        <v>5</v>
      </c>
      <c r="D797" s="5">
        <f>2.58810592</f>
        <v>2.5881059199999998</v>
      </c>
      <c r="E797" s="5">
        <f>4.79546566</f>
        <v>4.7954656599999996</v>
      </c>
      <c r="F797" s="1">
        <v>7</v>
      </c>
      <c r="G797" s="1">
        <v>5</v>
      </c>
      <c r="H797" s="5">
        <f t="shared" si="12"/>
        <v>561.22822294007369</v>
      </c>
    </row>
    <row r="798" spans="1:8" x14ac:dyDescent="0.2">
      <c r="A798" s="5">
        <f>561.56435</f>
        <v>561.56434999999999</v>
      </c>
      <c r="B798" s="3">
        <f>26400000</f>
        <v>26400000</v>
      </c>
      <c r="C798" s="1" t="s">
        <v>13</v>
      </c>
      <c r="D798" s="5">
        <f>3.33201954</f>
        <v>3.3320195400000001</v>
      </c>
      <c r="E798" s="5">
        <f>5.53924278</f>
        <v>5.5392427800000004</v>
      </c>
      <c r="F798" s="1">
        <v>11</v>
      </c>
      <c r="G798" s="1">
        <v>9</v>
      </c>
      <c r="H798" s="5">
        <f t="shared" si="12"/>
        <v>561.26293064477829</v>
      </c>
    </row>
    <row r="799" spans="1:8" x14ac:dyDescent="0.2">
      <c r="A799" s="5">
        <f>561.86324</f>
        <v>561.86324000000002</v>
      </c>
      <c r="B799" s="3">
        <f>2240000</f>
        <v>2240000</v>
      </c>
      <c r="C799" s="1" t="s">
        <v>6</v>
      </c>
      <c r="D799" s="5">
        <f>4.20888328</f>
        <v>4.2088832800000002</v>
      </c>
      <c r="E799" s="5">
        <f>6.41493251</f>
        <v>6.4149325099999999</v>
      </c>
      <c r="F799" s="1">
        <v>5</v>
      </c>
      <c r="G799" s="1">
        <v>5</v>
      </c>
      <c r="H799" s="5">
        <f t="shared" si="12"/>
        <v>561.56162220806971</v>
      </c>
    </row>
    <row r="800" spans="1:8" x14ac:dyDescent="0.2">
      <c r="A800" s="5">
        <f>561.9595</f>
        <v>561.95950000000005</v>
      </c>
      <c r="B800" s="3">
        <f>350000</f>
        <v>350000</v>
      </c>
      <c r="C800" s="1" t="s">
        <v>10</v>
      </c>
      <c r="D800" s="5">
        <f>4.38646275</f>
        <v>4.3864627499999997</v>
      </c>
      <c r="E800" s="5">
        <f>6.59213395</f>
        <v>6.59213395</v>
      </c>
      <c r="F800" s="1">
        <v>11</v>
      </c>
      <c r="G800" s="1">
        <v>13</v>
      </c>
      <c r="H800" s="5">
        <f t="shared" si="12"/>
        <v>561.65786825781777</v>
      </c>
    </row>
    <row r="801" spans="1:8" x14ac:dyDescent="0.2">
      <c r="A801" s="5">
        <f>562.0492</f>
        <v>562.04920000000004</v>
      </c>
      <c r="B801" s="3">
        <f>530000</f>
        <v>530000</v>
      </c>
      <c r="C801" s="1" t="s">
        <v>10</v>
      </c>
      <c r="D801" s="5">
        <f>4.15435379</f>
        <v>4.15435379</v>
      </c>
      <c r="E801" s="5">
        <f>6.35967275</f>
        <v>6.3596727499999997</v>
      </c>
      <c r="F801" s="1">
        <v>7</v>
      </c>
      <c r="G801" s="1">
        <v>7</v>
      </c>
      <c r="H801" s="5">
        <f t="shared" si="12"/>
        <v>561.74757789669718</v>
      </c>
    </row>
    <row r="802" spans="1:8" x14ac:dyDescent="0.2">
      <c r="A802" s="5">
        <f>562.40216</f>
        <v>562.40215999999998</v>
      </c>
      <c r="B802" s="3">
        <f>830000</f>
        <v>830000</v>
      </c>
      <c r="C802" s="1" t="s">
        <v>10</v>
      </c>
      <c r="D802" s="5">
        <f>4.38646275</f>
        <v>4.3864627499999997</v>
      </c>
      <c r="E802" s="5">
        <f>6.59039805</f>
        <v>6.5903980500000001</v>
      </c>
      <c r="F802" s="1">
        <v>11</v>
      </c>
      <c r="G802" s="1">
        <v>9</v>
      </c>
      <c r="H802" s="5">
        <f t="shared" si="12"/>
        <v>562.10025052444257</v>
      </c>
    </row>
    <row r="803" spans="1:8" x14ac:dyDescent="0.2">
      <c r="A803" s="5">
        <f>562.45418</f>
        <v>562.45417999999995</v>
      </c>
      <c r="B803" s="3">
        <f>7410000</f>
        <v>7410000</v>
      </c>
      <c r="C803" s="1" t="s">
        <v>13</v>
      </c>
      <c r="D803" s="5">
        <f>3.41695281</f>
        <v>3.4169528100000002</v>
      </c>
      <c r="E803" s="5">
        <f>5.62068415</f>
        <v>5.6206841499999998</v>
      </c>
      <c r="F803" s="1">
        <v>5</v>
      </c>
      <c r="G803" s="1">
        <v>5</v>
      </c>
      <c r="H803" s="5">
        <f t="shared" si="12"/>
        <v>562.15227409238707</v>
      </c>
    </row>
    <row r="804" spans="1:8" x14ac:dyDescent="0.2">
      <c r="A804" s="5">
        <f>563.39461</f>
        <v>563.39460999999994</v>
      </c>
      <c r="B804" s="3">
        <f>7700000</f>
        <v>7700000</v>
      </c>
      <c r="C804" s="1" t="s">
        <v>10</v>
      </c>
      <c r="D804" s="5">
        <f>4.99127081</f>
        <v>4.9912708099999996</v>
      </c>
      <c r="E804" s="5">
        <f>7.19132379</f>
        <v>7.1913237900000002</v>
      </c>
      <c r="F804" s="1">
        <v>11</v>
      </c>
      <c r="G804" s="1">
        <v>13</v>
      </c>
      <c r="H804" s="5">
        <f t="shared" si="12"/>
        <v>563.09215983956108</v>
      </c>
    </row>
    <row r="805" spans="1:8" x14ac:dyDescent="0.2">
      <c r="A805" s="5">
        <f>563.58222</f>
        <v>563.58222000000001</v>
      </c>
      <c r="B805" s="3">
        <f>580000</f>
        <v>580000</v>
      </c>
      <c r="C805" s="1" t="s">
        <v>10</v>
      </c>
      <c r="D805" s="5">
        <f>4.2562228</f>
        <v>4.2562227999999998</v>
      </c>
      <c r="E805" s="5">
        <f>6.45554341</f>
        <v>6.4555434099999998</v>
      </c>
      <c r="F805" s="1">
        <v>7</v>
      </c>
      <c r="G805" s="1">
        <v>5</v>
      </c>
      <c r="H805" s="5">
        <f t="shared" si="12"/>
        <v>563.27966856531339</v>
      </c>
    </row>
    <row r="806" spans="1:8" x14ac:dyDescent="0.2">
      <c r="A806" s="5">
        <f>563.66958</f>
        <v>563.66958</v>
      </c>
      <c r="B806" s="3">
        <f>83000</f>
        <v>83000</v>
      </c>
      <c r="C806" s="1" t="s">
        <v>10</v>
      </c>
      <c r="D806" s="5">
        <f>3.63977237</f>
        <v>3.6397723700000002</v>
      </c>
      <c r="E806" s="5">
        <f>5.83875215</f>
        <v>5.8387521500000004</v>
      </c>
      <c r="F806" s="1">
        <v>5</v>
      </c>
      <c r="G806" s="1">
        <v>7</v>
      </c>
      <c r="H806" s="5">
        <f t="shared" si="12"/>
        <v>563.36697387443144</v>
      </c>
    </row>
    <row r="807" spans="1:8" x14ac:dyDescent="0.2">
      <c r="A807" s="5">
        <f>563.82618</f>
        <v>563.82618000000002</v>
      </c>
      <c r="B807" s="3">
        <f>4400000</f>
        <v>4400000</v>
      </c>
      <c r="C807" s="1" t="s">
        <v>12</v>
      </c>
      <c r="D807" s="5">
        <f>4.22036211</f>
        <v>4.2203621099999999</v>
      </c>
      <c r="E807" s="5">
        <f>6.41873101</f>
        <v>6.4187310100000001</v>
      </c>
      <c r="F807" s="1">
        <v>9</v>
      </c>
      <c r="G807" s="1">
        <v>7</v>
      </c>
      <c r="H807" s="5">
        <f t="shared" si="12"/>
        <v>563.52352158441784</v>
      </c>
    </row>
    <row r="808" spans="1:8" x14ac:dyDescent="0.2">
      <c r="A808" s="5">
        <f>564.14336</f>
        <v>564.14336000000003</v>
      </c>
      <c r="B808" s="3">
        <f>3000000</f>
        <v>3000000</v>
      </c>
      <c r="C808" s="1" t="s">
        <v>12</v>
      </c>
      <c r="D808" s="5">
        <f>4.2562228</f>
        <v>4.2562227999999998</v>
      </c>
      <c r="E808" s="5">
        <f>6.45335558</f>
        <v>6.4533555800000002</v>
      </c>
      <c r="F808" s="1">
        <v>7</v>
      </c>
      <c r="G808" s="1">
        <v>5</v>
      </c>
      <c r="H808" s="5">
        <f t="shared" si="12"/>
        <v>563.84056327704639</v>
      </c>
    </row>
    <row r="809" spans="1:8" x14ac:dyDescent="0.2">
      <c r="A809" s="5">
        <f>564.27509</f>
        <v>564.27508999999998</v>
      </c>
      <c r="B809" s="3">
        <f>330000</f>
        <v>330000</v>
      </c>
      <c r="C809" s="1" t="s">
        <v>10</v>
      </c>
      <c r="D809" s="5">
        <f>4.60759327</f>
        <v>4.6075932699999997</v>
      </c>
      <c r="E809" s="5">
        <f>6.80421351</f>
        <v>6.8042135100000003</v>
      </c>
      <c r="F809" s="1">
        <v>7</v>
      </c>
      <c r="G809" s="1">
        <v>5</v>
      </c>
      <c r="H809" s="5">
        <f t="shared" si="12"/>
        <v>563.97212486290425</v>
      </c>
    </row>
    <row r="810" spans="1:8" x14ac:dyDescent="0.2">
      <c r="A810" s="5">
        <f>564.39258</f>
        <v>564.39257999999995</v>
      </c>
      <c r="B810" s="3">
        <f>290000</f>
        <v>290000</v>
      </c>
      <c r="C810" s="1" t="s">
        <v>10</v>
      </c>
      <c r="D810" s="5">
        <f>4.07581091</f>
        <v>4.0758109100000004</v>
      </c>
      <c r="E810" s="5">
        <f>6.27197352</f>
        <v>6.2719735200000004</v>
      </c>
      <c r="F810" s="1">
        <v>9</v>
      </c>
      <c r="G810" s="1">
        <v>7</v>
      </c>
      <c r="H810" s="5">
        <f t="shared" si="12"/>
        <v>564.0896437398427</v>
      </c>
    </row>
    <row r="811" spans="1:8" x14ac:dyDescent="0.2">
      <c r="A811" s="5">
        <f>564.96303</f>
        <v>564.96303</v>
      </c>
      <c r="B811" s="3">
        <f>36000</f>
        <v>36000</v>
      </c>
      <c r="C811" s="1" t="s">
        <v>10</v>
      </c>
      <c r="D811" s="5">
        <f>3.6343498</f>
        <v>3.6343497999999999</v>
      </c>
      <c r="E811" s="5">
        <f>5.8282952</f>
        <v>5.8282952000000003</v>
      </c>
      <c r="F811" s="1">
        <v>13</v>
      </c>
      <c r="G811" s="1">
        <v>11</v>
      </c>
      <c r="H811" s="5">
        <f t="shared" si="12"/>
        <v>564.6597149909303</v>
      </c>
    </row>
    <row r="812" spans="1:8" x14ac:dyDescent="0.2">
      <c r="A812" s="5">
        <f>564.99869</f>
        <v>564.99869000000001</v>
      </c>
      <c r="B812" s="3">
        <f>5100000</f>
        <v>5100000</v>
      </c>
      <c r="C812" s="1" t="s">
        <v>10</v>
      </c>
      <c r="D812" s="5">
        <f>5.09954435</f>
        <v>5.0995443500000004</v>
      </c>
      <c r="E812" s="5">
        <f>7.2933513</f>
        <v>7.2933513000000003</v>
      </c>
      <c r="F812" s="1">
        <v>3</v>
      </c>
      <c r="G812" s="1">
        <v>5</v>
      </c>
      <c r="H812" s="5">
        <f t="shared" si="12"/>
        <v>564.69535036784487</v>
      </c>
    </row>
    <row r="813" spans="1:8" x14ac:dyDescent="0.2">
      <c r="A813" s="5">
        <f>565.0705</f>
        <v>565.07050000000004</v>
      </c>
      <c r="B813" s="3">
        <f>3300000</f>
        <v>3300000</v>
      </c>
      <c r="C813" s="1" t="s">
        <v>10</v>
      </c>
      <c r="D813" s="5">
        <f>5.08559017</f>
        <v>5.0855901699999997</v>
      </c>
      <c r="E813" s="5">
        <f>7.2791181</f>
        <v>7.2791180999999998</v>
      </c>
      <c r="F813" s="1">
        <v>5</v>
      </c>
      <c r="G813" s="1">
        <v>7</v>
      </c>
      <c r="H813" s="5">
        <f t="shared" si="12"/>
        <v>564.76718045238795</v>
      </c>
    </row>
    <row r="814" spans="1:8" x14ac:dyDescent="0.2">
      <c r="A814" s="5">
        <f>565.23176</f>
        <v>565.23176000000001</v>
      </c>
      <c r="B814" s="3">
        <f>500000</f>
        <v>500000</v>
      </c>
      <c r="C814" s="1" t="s">
        <v>10</v>
      </c>
      <c r="D814" s="5">
        <f>4.26045326</f>
        <v>4.2604532600000002</v>
      </c>
      <c r="E814" s="5">
        <f>6.45335558</f>
        <v>6.4533555800000002</v>
      </c>
      <c r="F814" s="1">
        <v>3</v>
      </c>
      <c r="G814" s="1">
        <v>5</v>
      </c>
      <c r="H814" s="5">
        <f t="shared" si="12"/>
        <v>564.92830208217526</v>
      </c>
    </row>
    <row r="815" spans="1:8" x14ac:dyDescent="0.2">
      <c r="A815" s="5">
        <f>565.38664</f>
        <v>565.38664000000006</v>
      </c>
      <c r="B815" s="3">
        <f>460000</f>
        <v>460000</v>
      </c>
      <c r="C815" s="1" t="s">
        <v>10</v>
      </c>
      <c r="D815" s="5">
        <f>4.38646275</f>
        <v>4.3864627499999997</v>
      </c>
      <c r="E815" s="5">
        <f>6.57876498</f>
        <v>6.5787649799999999</v>
      </c>
      <c r="F815" s="1">
        <v>11</v>
      </c>
      <c r="G815" s="1">
        <v>11</v>
      </c>
      <c r="H815" s="5">
        <f t="shared" si="12"/>
        <v>565.08293761561458</v>
      </c>
    </row>
    <row r="816" spans="1:8" x14ac:dyDescent="0.2">
      <c r="A816" s="5">
        <f>565.51761</f>
        <v>565.51760999999999</v>
      </c>
      <c r="B816" s="3">
        <f>4700000</f>
        <v>4700000</v>
      </c>
      <c r="C816" s="1" t="s">
        <v>10</v>
      </c>
      <c r="D816" s="5">
        <f>5.06378173</f>
        <v>5.0637817299999996</v>
      </c>
      <c r="E816" s="5">
        <f>7.2555755</f>
        <v>7.2555755</v>
      </c>
      <c r="F816" s="1">
        <v>7</v>
      </c>
      <c r="G816" s="1">
        <v>9</v>
      </c>
      <c r="H816" s="5">
        <f t="shared" si="12"/>
        <v>565.21402753584005</v>
      </c>
    </row>
    <row r="817" spans="1:8" x14ac:dyDescent="0.2">
      <c r="A817" s="5">
        <f>565.85313</f>
        <v>565.85312999999996</v>
      </c>
      <c r="B817" s="3">
        <f>580000</f>
        <v>580000</v>
      </c>
      <c r="C817" s="1" t="s">
        <v>13</v>
      </c>
      <c r="D817" s="5">
        <f>3.43018998</f>
        <v>3.4301899800000002</v>
      </c>
      <c r="E817" s="5">
        <f>5.62068415</f>
        <v>5.6206841499999998</v>
      </c>
      <c r="F817" s="1">
        <v>3</v>
      </c>
      <c r="G817" s="1">
        <v>5</v>
      </c>
      <c r="H817" s="5">
        <f t="shared" si="12"/>
        <v>565.54936380847039</v>
      </c>
    </row>
    <row r="818" spans="1:8" x14ac:dyDescent="0.2">
      <c r="A818" s="5">
        <f>565.86575</f>
        <v>565.86575000000005</v>
      </c>
      <c r="B818" s="3">
        <f>4520000</f>
        <v>4520000</v>
      </c>
      <c r="C818" s="1" t="s">
        <v>6</v>
      </c>
      <c r="D818" s="5">
        <f>4.28330826</f>
        <v>4.2833082600000001</v>
      </c>
      <c r="E818" s="5">
        <f>6.47375371</f>
        <v>6.4737537100000004</v>
      </c>
      <c r="F818" s="1">
        <v>5</v>
      </c>
      <c r="G818" s="1">
        <v>3</v>
      </c>
      <c r="H818" s="5">
        <f t="shared" si="12"/>
        <v>565.56194278641487</v>
      </c>
    </row>
    <row r="819" spans="1:8" x14ac:dyDescent="0.2">
      <c r="A819" s="5">
        <f>565.8816</f>
        <v>565.88160000000005</v>
      </c>
      <c r="B819" s="3">
        <f>4340000</f>
        <v>4340000</v>
      </c>
      <c r="C819" s="1" t="s">
        <v>13</v>
      </c>
      <c r="D819" s="5">
        <f>3.3965088</f>
        <v>3.3965087999999999</v>
      </c>
      <c r="E819" s="5">
        <f>5.58689276</f>
        <v>5.5868927599999996</v>
      </c>
      <c r="F819" s="1">
        <v>7</v>
      </c>
      <c r="G819" s="1">
        <v>7</v>
      </c>
      <c r="H819" s="5">
        <f t="shared" si="12"/>
        <v>565.57781963928517</v>
      </c>
    </row>
    <row r="820" spans="1:8" x14ac:dyDescent="0.2">
      <c r="A820" s="5">
        <f>566.08008</f>
        <v>566.08007999999995</v>
      </c>
      <c r="B820" s="3">
        <f>44000</f>
        <v>44000</v>
      </c>
      <c r="C820" s="1" t="s">
        <v>10</v>
      </c>
      <c r="D820" s="5">
        <f>3.63977237</f>
        <v>3.6397723700000002</v>
      </c>
      <c r="E820" s="5">
        <f>5.82938837</f>
        <v>5.8293883700000002</v>
      </c>
      <c r="F820" s="1">
        <v>5</v>
      </c>
      <c r="G820" s="1">
        <v>7</v>
      </c>
      <c r="H820" s="5">
        <f t="shared" si="12"/>
        <v>565.77618370968378</v>
      </c>
    </row>
    <row r="821" spans="1:8" x14ac:dyDescent="0.2">
      <c r="A821" s="5">
        <f>566.13451</f>
        <v>566.13450999999998</v>
      </c>
      <c r="B821" s="3">
        <f>1220000</f>
        <v>1220000</v>
      </c>
      <c r="C821" s="1" t="s">
        <v>13</v>
      </c>
      <c r="D821" s="5">
        <f>4.284348</f>
        <v>4.2843479999999996</v>
      </c>
      <c r="E821" s="5">
        <f>6.47375371</f>
        <v>6.4737537100000004</v>
      </c>
      <c r="F821" s="1">
        <v>1</v>
      </c>
      <c r="G821" s="1">
        <v>3</v>
      </c>
      <c r="H821" s="5">
        <f t="shared" si="12"/>
        <v>565.83052588716532</v>
      </c>
    </row>
    <row r="822" spans="1:8" x14ac:dyDescent="0.2">
      <c r="A822" s="5">
        <f>566.25158</f>
        <v>566.25157999999999</v>
      </c>
      <c r="B822" s="3">
        <f>6180000</f>
        <v>6180000</v>
      </c>
      <c r="C822" s="1" t="s">
        <v>13</v>
      </c>
      <c r="D822" s="5">
        <f>4.17769679</f>
        <v>4.1776967899999997</v>
      </c>
      <c r="E822" s="5">
        <f>6.36664959</f>
        <v>6.3666495899999997</v>
      </c>
      <c r="F822" s="1">
        <v>11</v>
      </c>
      <c r="G822" s="1">
        <v>9</v>
      </c>
      <c r="H822" s="5">
        <f t="shared" si="12"/>
        <v>565.94760027245127</v>
      </c>
    </row>
    <row r="823" spans="1:8" x14ac:dyDescent="0.2">
      <c r="A823" s="5">
        <f>566.29376</f>
        <v>566.29376000000002</v>
      </c>
      <c r="B823" s="3">
        <f>245000</f>
        <v>245000</v>
      </c>
      <c r="C823" s="1" t="s">
        <v>6</v>
      </c>
      <c r="D823" s="5">
        <f>3.69459719</f>
        <v>3.6945971900000001</v>
      </c>
      <c r="E823" s="5">
        <f>5.88338708</f>
        <v>5.8833870800000003</v>
      </c>
      <c r="F823" s="1">
        <v>9</v>
      </c>
      <c r="G823" s="1">
        <v>9</v>
      </c>
      <c r="H823" s="5">
        <f t="shared" si="12"/>
        <v>565.98972333048505</v>
      </c>
    </row>
    <row r="824" spans="1:8" x14ac:dyDescent="0.2">
      <c r="A824" s="5">
        <f>566.75176</f>
        <v>566.75175999999999</v>
      </c>
      <c r="B824" s="3">
        <f>612000</f>
        <v>612000</v>
      </c>
      <c r="C824" s="1" t="s">
        <v>5</v>
      </c>
      <c r="D824" s="5">
        <f>4.17769679</f>
        <v>4.1776967899999997</v>
      </c>
      <c r="E824" s="5">
        <f>6.36471779</f>
        <v>6.3647177900000003</v>
      </c>
      <c r="F824" s="1">
        <v>11</v>
      </c>
      <c r="G824" s="1">
        <v>9</v>
      </c>
      <c r="H824" s="5">
        <f t="shared" si="12"/>
        <v>566.44750291362664</v>
      </c>
    </row>
    <row r="825" spans="1:8" x14ac:dyDescent="0.2">
      <c r="A825" s="5">
        <f>566.7664</f>
        <v>566.76639999999998</v>
      </c>
      <c r="B825" s="3">
        <f>48000</f>
        <v>48000</v>
      </c>
      <c r="C825" s="1" t="s">
        <v>10</v>
      </c>
      <c r="D825" s="5">
        <f>2.60850194</f>
        <v>2.60850194</v>
      </c>
      <c r="E825" s="5">
        <f>4.79546566</f>
        <v>4.7954656599999996</v>
      </c>
      <c r="F825" s="1">
        <v>5</v>
      </c>
      <c r="G825" s="1">
        <v>5</v>
      </c>
      <c r="H825" s="5">
        <f t="shared" si="12"/>
        <v>566.46233905959048</v>
      </c>
    </row>
    <row r="826" spans="1:8" x14ac:dyDescent="0.2">
      <c r="A826" s="5">
        <f>567.90226</f>
        <v>567.90225999999996</v>
      </c>
      <c r="B826" s="3">
        <f>3700000</f>
        <v>3700000</v>
      </c>
      <c r="C826" s="1" t="s">
        <v>12</v>
      </c>
      <c r="D826" s="5">
        <f>4.65203107</f>
        <v>4.6520310699999996</v>
      </c>
      <c r="E826" s="5">
        <f>6.83462125</f>
        <v>6.8346212499999996</v>
      </c>
      <c r="F826" s="1">
        <v>5</v>
      </c>
      <c r="G826" s="1">
        <v>7</v>
      </c>
      <c r="H826" s="5">
        <f t="shared" si="12"/>
        <v>567.59743337141879</v>
      </c>
    </row>
    <row r="827" spans="1:8" x14ac:dyDescent="0.2">
      <c r="A827" s="5">
        <f>568.024</f>
        <v>568.024</v>
      </c>
      <c r="B827" s="3">
        <f>84000</f>
        <v>84000</v>
      </c>
      <c r="C827" s="1" t="s">
        <v>10</v>
      </c>
      <c r="D827" s="5">
        <f>4.1863644</f>
        <v>4.1863644000000004</v>
      </c>
      <c r="E827" s="5">
        <f>6.36848691</f>
        <v>6.3684869099999997</v>
      </c>
      <c r="F827" s="1">
        <v>5</v>
      </c>
      <c r="G827" s="1">
        <v>7</v>
      </c>
      <c r="H827" s="5">
        <f t="shared" si="12"/>
        <v>567.71908020400895</v>
      </c>
    </row>
    <row r="828" spans="1:8" x14ac:dyDescent="0.2">
      <c r="A828" s="5">
        <f>568.65298</f>
        <v>568.65297999999996</v>
      </c>
      <c r="B828" s="3">
        <f>6710000</f>
        <v>6710000</v>
      </c>
      <c r="C828" s="1" t="s">
        <v>14</v>
      </c>
      <c r="D828" s="5">
        <f>4.54850612</f>
        <v>4.5485061199999999</v>
      </c>
      <c r="E828" s="5">
        <f>6.72821528</f>
        <v>6.7282152799999997</v>
      </c>
      <c r="F828" s="1">
        <v>9</v>
      </c>
      <c r="G828" s="1">
        <v>11</v>
      </c>
      <c r="H828" s="5">
        <f t="shared" si="12"/>
        <v>568.3476525233591</v>
      </c>
    </row>
    <row r="829" spans="1:8" x14ac:dyDescent="0.2">
      <c r="A829" s="5">
        <f>569.14967</f>
        <v>569.14967000000001</v>
      </c>
      <c r="B829" s="3">
        <f>6700000</f>
        <v>6700000</v>
      </c>
      <c r="C829" s="1" t="s">
        <v>10</v>
      </c>
      <c r="D829" s="5">
        <f>4.30127816</f>
        <v>4.3012781599999999</v>
      </c>
      <c r="E829" s="5">
        <f>6.47908516</f>
        <v>6.4790851600000003</v>
      </c>
      <c r="F829" s="1">
        <v>3</v>
      </c>
      <c r="G829" s="1">
        <v>1</v>
      </c>
      <c r="H829" s="5">
        <f t="shared" si="12"/>
        <v>568.84406389990602</v>
      </c>
    </row>
    <row r="830" spans="1:8" x14ac:dyDescent="0.2">
      <c r="A830" s="5">
        <f>569.60892</f>
        <v>569.60892000000001</v>
      </c>
      <c r="B830" s="3">
        <f>435000</f>
        <v>435000</v>
      </c>
      <c r="C830" s="1" t="s">
        <v>6</v>
      </c>
      <c r="D830" s="5">
        <f>4.54850612</f>
        <v>4.5485061199999999</v>
      </c>
      <c r="E830" s="5">
        <f>6.72455738</f>
        <v>6.7245573800000003</v>
      </c>
      <c r="F830" s="1">
        <v>9</v>
      </c>
      <c r="G830" s="1">
        <v>9</v>
      </c>
      <c r="H830" s="5">
        <f t="shared" si="12"/>
        <v>569.30303391366931</v>
      </c>
    </row>
    <row r="831" spans="1:8" x14ac:dyDescent="0.2">
      <c r="A831" s="5">
        <f>569.80196</f>
        <v>569.80196000000001</v>
      </c>
      <c r="B831" s="3">
        <f>160000</f>
        <v>160000</v>
      </c>
      <c r="C831" s="1" t="s">
        <v>10</v>
      </c>
      <c r="D831" s="5">
        <f>3.63977237</f>
        <v>3.6397723700000002</v>
      </c>
      <c r="E831" s="5">
        <f>5.81508605</f>
        <v>5.8150860499999997</v>
      </c>
      <c r="F831" s="1">
        <v>5</v>
      </c>
      <c r="G831" s="1">
        <v>3</v>
      </c>
      <c r="H831" s="5">
        <f t="shared" si="12"/>
        <v>569.49606654873946</v>
      </c>
    </row>
    <row r="832" spans="1:8" x14ac:dyDescent="0.2">
      <c r="A832" s="5">
        <f>570.15442</f>
        <v>570.15441999999996</v>
      </c>
      <c r="B832" s="3">
        <f>178000</f>
        <v>178000</v>
      </c>
      <c r="C832" s="1" t="s">
        <v>6</v>
      </c>
      <c r="D832" s="5">
        <f>2.55917148</f>
        <v>2.5591714799999998</v>
      </c>
      <c r="E832" s="5">
        <f>4.73314079</f>
        <v>4.7331407900000002</v>
      </c>
      <c r="F832" s="1">
        <v>9</v>
      </c>
      <c r="G832" s="1">
        <v>7</v>
      </c>
      <c r="H832" s="5">
        <f t="shared" si="12"/>
        <v>569.84823960999825</v>
      </c>
    </row>
    <row r="833" spans="1:8" x14ac:dyDescent="0.2">
      <c r="A833" s="5">
        <f>570.23475</f>
        <v>570.23474999999996</v>
      </c>
      <c r="B833" s="3">
        <f>63000</f>
        <v>63000</v>
      </c>
      <c r="C833" s="1" t="s">
        <v>10</v>
      </c>
      <c r="D833" s="5">
        <f>3.63977237</f>
        <v>3.6397723700000002</v>
      </c>
      <c r="E833" s="5">
        <f>5.8134352</f>
        <v>5.8134351999999998</v>
      </c>
      <c r="F833" s="1">
        <v>5</v>
      </c>
      <c r="G833" s="1">
        <v>5</v>
      </c>
      <c r="H833" s="5">
        <f t="shared" si="12"/>
        <v>569.92858651848189</v>
      </c>
    </row>
    <row r="834" spans="1:8" x14ac:dyDescent="0.2">
      <c r="A834" s="5">
        <f>570.54642</f>
        <v>570.54642000000001</v>
      </c>
      <c r="B834" s="3">
        <f>3010000</f>
        <v>3010000</v>
      </c>
      <c r="C834" s="1" t="s">
        <v>13</v>
      </c>
      <c r="D834" s="5">
        <f>4.30127816</f>
        <v>4.3012781599999999</v>
      </c>
      <c r="E834" s="5">
        <f>6.47375371</f>
        <v>6.4737537100000004</v>
      </c>
      <c r="F834" s="1">
        <v>3</v>
      </c>
      <c r="G834" s="1">
        <v>3</v>
      </c>
      <c r="H834" s="5">
        <f t="shared" si="12"/>
        <v>570.24005829187013</v>
      </c>
    </row>
    <row r="835" spans="1:8" x14ac:dyDescent="0.2">
      <c r="A835" s="5">
        <f>570.59918</f>
        <v>570.59918000000005</v>
      </c>
      <c r="B835" s="3">
        <f>6100000</f>
        <v>6100000</v>
      </c>
      <c r="C835" s="1" t="s">
        <v>12</v>
      </c>
      <c r="D835" s="5">
        <f>4.60759327</f>
        <v>4.6075932699999997</v>
      </c>
      <c r="E835" s="5">
        <f>6.77986785</f>
        <v>6.7798678499999996</v>
      </c>
      <c r="F835" s="1">
        <v>7</v>
      </c>
      <c r="G835" s="1">
        <v>9</v>
      </c>
      <c r="H835" s="5">
        <f t="shared" ref="H835:H878" si="13">$J$2*$J$1/((E835-D835)*$J$3)*1000000000</f>
        <v>570.29281458040316</v>
      </c>
    </row>
    <row r="836" spans="1:8" x14ac:dyDescent="0.2">
      <c r="A836" s="5">
        <f>570.70491</f>
        <v>570.70491000000004</v>
      </c>
      <c r="B836" s="3">
        <f>100000</f>
        <v>100000</v>
      </c>
      <c r="C836" s="1" t="s">
        <v>10</v>
      </c>
      <c r="D836" s="5">
        <f>3.64164057</f>
        <v>3.6416405699999999</v>
      </c>
      <c r="E836" s="5">
        <f>5.81351269</f>
        <v>5.8135126899999996</v>
      </c>
      <c r="F836" s="1">
        <v>7</v>
      </c>
      <c r="G836" s="1">
        <v>9</v>
      </c>
      <c r="H836" s="5">
        <f t="shared" si="13"/>
        <v>570.39849301517029</v>
      </c>
    </row>
    <row r="837" spans="1:8" x14ac:dyDescent="0.2">
      <c r="A837" s="5">
        <f>570.80942</f>
        <v>570.80942000000005</v>
      </c>
      <c r="B837" s="3">
        <f>530000</f>
        <v>530000</v>
      </c>
      <c r="C837" s="1" t="s">
        <v>10</v>
      </c>
      <c r="D837" s="5">
        <f>4.43461275</f>
        <v>4.4346127500000003</v>
      </c>
      <c r="E837" s="5">
        <f>6.6060875</f>
        <v>6.6060875000000001</v>
      </c>
      <c r="F837" s="1">
        <v>9</v>
      </c>
      <c r="G837" s="1">
        <v>11</v>
      </c>
      <c r="H837" s="5">
        <f t="shared" si="13"/>
        <v>570.50287334433119</v>
      </c>
    </row>
    <row r="838" spans="1:8" x14ac:dyDescent="0.2">
      <c r="A838" s="5">
        <f>570.93779</f>
        <v>570.93778999999995</v>
      </c>
      <c r="B838" s="3">
        <f>2130000</f>
        <v>2130000</v>
      </c>
      <c r="C838" s="1" t="s">
        <v>13</v>
      </c>
      <c r="D838" s="5">
        <f>3.3682564</f>
        <v>3.3682563999999999</v>
      </c>
      <c r="E838" s="5">
        <f>5.53924278</f>
        <v>5.5392427800000004</v>
      </c>
      <c r="F838" s="1">
        <v>9</v>
      </c>
      <c r="G838" s="1">
        <v>9</v>
      </c>
      <c r="H838" s="5">
        <f t="shared" si="13"/>
        <v>570.63120970370278</v>
      </c>
    </row>
    <row r="839" spans="1:8" x14ac:dyDescent="0.2">
      <c r="A839" s="5">
        <f>571.18483</f>
        <v>571.18483000000003</v>
      </c>
      <c r="B839" s="3">
        <f>1500000</f>
        <v>1500000</v>
      </c>
      <c r="C839" s="1" t="s">
        <v>10</v>
      </c>
      <c r="D839" s="5">
        <f>4.28330826</f>
        <v>4.2833082600000001</v>
      </c>
      <c r="E839" s="5">
        <f>6.45335558</f>
        <v>6.4533555800000002</v>
      </c>
      <c r="F839" s="1">
        <v>5</v>
      </c>
      <c r="G839" s="1">
        <v>5</v>
      </c>
      <c r="H839" s="5">
        <f t="shared" si="13"/>
        <v>570.87814300273544</v>
      </c>
    </row>
    <row r="840" spans="1:8" x14ac:dyDescent="0.2">
      <c r="A840" s="5">
        <f>571.21312</f>
        <v>571.21312</v>
      </c>
      <c r="B840" s="3">
        <f>299000</f>
        <v>299000</v>
      </c>
      <c r="C840" s="1" t="s">
        <v>13</v>
      </c>
      <c r="D840" s="5">
        <f>3.41695281</f>
        <v>3.4169528100000002</v>
      </c>
      <c r="E840" s="5">
        <f>5.58689276</f>
        <v>5.5868927599999996</v>
      </c>
      <c r="F840" s="1">
        <v>5</v>
      </c>
      <c r="G840" s="1">
        <v>7</v>
      </c>
      <c r="H840" s="5">
        <f t="shared" si="13"/>
        <v>570.90639041401278</v>
      </c>
    </row>
    <row r="841" spans="1:8" x14ac:dyDescent="0.2">
      <c r="A841" s="5">
        <f>571.78325</f>
        <v>571.78324999999995</v>
      </c>
      <c r="B841" s="3">
        <f>5400000</f>
        <v>5400000</v>
      </c>
      <c r="C841" s="1" t="s">
        <v>12</v>
      </c>
      <c r="D841" s="5">
        <f>4.284348</f>
        <v>4.2843479999999996</v>
      </c>
      <c r="E841" s="5">
        <f>6.4521243</f>
        <v>6.4521243000000004</v>
      </c>
      <c r="F841" s="1">
        <v>1</v>
      </c>
      <c r="G841" s="1">
        <v>3</v>
      </c>
      <c r="H841" s="5">
        <f t="shared" si="13"/>
        <v>571.47621010048977</v>
      </c>
    </row>
    <row r="842" spans="1:8" x14ac:dyDescent="0.2">
      <c r="A842" s="5">
        <f>573.17619</f>
        <v>573.17619000000002</v>
      </c>
      <c r="B842" s="3">
        <f>1600000</f>
        <v>1600000</v>
      </c>
      <c r="C842" s="1" t="s">
        <v>12</v>
      </c>
      <c r="D842" s="5">
        <f>4.2562228</f>
        <v>4.2562227999999998</v>
      </c>
      <c r="E842" s="5">
        <f>6.41873101</f>
        <v>6.4187310100000001</v>
      </c>
      <c r="F842" s="1">
        <v>7</v>
      </c>
      <c r="G842" s="1">
        <v>7</v>
      </c>
      <c r="H842" s="5">
        <f t="shared" si="13"/>
        <v>572.86838428681062</v>
      </c>
    </row>
    <row r="843" spans="1:8" x14ac:dyDescent="0.2">
      <c r="A843" s="5">
        <f>574.1848</f>
        <v>574.1848</v>
      </c>
      <c r="B843" s="3">
        <f>859000</f>
        <v>859000</v>
      </c>
      <c r="C843" s="1" t="s">
        <v>5</v>
      </c>
      <c r="D843" s="5">
        <f>4.2562228</f>
        <v>4.2562227999999998</v>
      </c>
      <c r="E843" s="5">
        <f>6.41493251</f>
        <v>6.4149325099999999</v>
      </c>
      <c r="F843" s="1">
        <v>7</v>
      </c>
      <c r="G843" s="1">
        <v>5</v>
      </c>
      <c r="H843" s="5">
        <f t="shared" si="13"/>
        <v>573.87641262319744</v>
      </c>
    </row>
    <row r="844" spans="1:8" x14ac:dyDescent="0.2">
      <c r="A844" s="5">
        <f>574.29596</f>
        <v>574.29596000000004</v>
      </c>
      <c r="B844" s="3">
        <f>62000</f>
        <v>62000</v>
      </c>
      <c r="C844" s="1" t="s">
        <v>10</v>
      </c>
      <c r="D844" s="5">
        <f>4.17769679</f>
        <v>4.1776967899999997</v>
      </c>
      <c r="E844" s="5">
        <f>6.33598817</f>
        <v>6.3359881700000003</v>
      </c>
      <c r="F844" s="1">
        <v>11</v>
      </c>
      <c r="G844" s="1">
        <v>11</v>
      </c>
      <c r="H844" s="5">
        <f t="shared" si="13"/>
        <v>573.98764399905201</v>
      </c>
    </row>
    <row r="845" spans="1:8" x14ac:dyDescent="0.2">
      <c r="A845" s="5">
        <f>574.79538</f>
        <v>574.79538000000002</v>
      </c>
      <c r="B845" s="3">
        <f>880000</f>
        <v>880000</v>
      </c>
      <c r="C845" s="1" t="s">
        <v>10</v>
      </c>
      <c r="D845" s="5">
        <f>4.60759327</f>
        <v>4.6075932699999997</v>
      </c>
      <c r="E845" s="5">
        <f>6.76400977</f>
        <v>6.7640097700000004</v>
      </c>
      <c r="F845" s="1">
        <v>7</v>
      </c>
      <c r="G845" s="1">
        <v>9</v>
      </c>
      <c r="H845" s="5">
        <f t="shared" si="13"/>
        <v>574.48669321054751</v>
      </c>
    </row>
    <row r="846" spans="1:8" x14ac:dyDescent="0.2">
      <c r="A846" s="5">
        <f>575.31223</f>
        <v>575.31223</v>
      </c>
      <c r="B846" s="3">
        <f>8260000</f>
        <v>8260000</v>
      </c>
      <c r="C846" s="1" t="s">
        <v>13</v>
      </c>
      <c r="D846" s="5">
        <f>4.26045326</f>
        <v>4.2604532600000002</v>
      </c>
      <c r="E846" s="5">
        <f>6.41493251</f>
        <v>6.4149325099999999</v>
      </c>
      <c r="F846" s="1">
        <v>3</v>
      </c>
      <c r="G846" s="1">
        <v>5</v>
      </c>
      <c r="H846" s="5">
        <f t="shared" si="13"/>
        <v>575.00325624842446</v>
      </c>
    </row>
    <row r="847" spans="1:8" x14ac:dyDescent="0.2">
      <c r="A847" s="5">
        <f>575.44022</f>
        <v>575.44021999999995</v>
      </c>
      <c r="B847" s="3">
        <f>65000</f>
        <v>65000</v>
      </c>
      <c r="C847" s="1" t="s">
        <v>10</v>
      </c>
      <c r="D847" s="5">
        <f>3.64164057</f>
        <v>3.6416405699999999</v>
      </c>
      <c r="E847" s="5">
        <f>5.79564049</f>
        <v>5.7956404900000003</v>
      </c>
      <c r="F847" s="1">
        <v>7</v>
      </c>
      <c r="G847" s="1">
        <v>7</v>
      </c>
      <c r="H847" s="5">
        <f t="shared" si="13"/>
        <v>575.13121182922919</v>
      </c>
    </row>
    <row r="848" spans="1:8" x14ac:dyDescent="0.2">
      <c r="A848" s="5">
        <f>576.03442</f>
        <v>576.03441999999995</v>
      </c>
      <c r="B848" s="3">
        <f>150000</f>
        <v>150000</v>
      </c>
      <c r="C848" s="1" t="s">
        <v>10</v>
      </c>
      <c r="D848" s="5">
        <f>3.64164057</f>
        <v>3.6416405699999999</v>
      </c>
      <c r="E848" s="5">
        <f>5.79341882</f>
        <v>5.7934188200000003</v>
      </c>
      <c r="F848" s="1">
        <v>7</v>
      </c>
      <c r="G848" s="1">
        <v>5</v>
      </c>
      <c r="H848" s="5">
        <f t="shared" si="13"/>
        <v>575.72502383536164</v>
      </c>
    </row>
    <row r="849" spans="1:8" x14ac:dyDescent="0.2">
      <c r="A849" s="5">
        <f>576.24131</f>
        <v>576.24131</v>
      </c>
      <c r="B849" s="3">
        <f>130000</f>
        <v>130000</v>
      </c>
      <c r="C849" s="1" t="s">
        <v>10</v>
      </c>
      <c r="D849" s="5">
        <f>3.64164057</f>
        <v>3.6416405699999999</v>
      </c>
      <c r="E849" s="5">
        <f>5.79264615</f>
        <v>5.7926461500000004</v>
      </c>
      <c r="F849" s="1">
        <v>7</v>
      </c>
      <c r="G849" s="1">
        <v>9</v>
      </c>
      <c r="H849" s="5">
        <f t="shared" si="13"/>
        <v>575.93183197119492</v>
      </c>
    </row>
    <row r="850" spans="1:8" x14ac:dyDescent="0.2">
      <c r="A850" s="5">
        <f>576.29918</f>
        <v>576.29917999999998</v>
      </c>
      <c r="B850" s="3">
        <f>9600000</f>
        <v>9600000</v>
      </c>
      <c r="C850" s="1" t="s">
        <v>12</v>
      </c>
      <c r="D850" s="5">
        <f>4.20888328</f>
        <v>4.2088832800000002</v>
      </c>
      <c r="E850" s="5">
        <f>6.35967275</f>
        <v>6.3596727499999997</v>
      </c>
      <c r="F850" s="1">
        <v>5</v>
      </c>
      <c r="G850" s="1">
        <v>7</v>
      </c>
      <c r="H850" s="5">
        <f t="shared" si="13"/>
        <v>575.989701246614</v>
      </c>
    </row>
    <row r="851" spans="1:8" x14ac:dyDescent="0.2">
      <c r="A851" s="5">
        <f>577.50802</f>
        <v>577.50801999999999</v>
      </c>
      <c r="B851" s="3">
        <f>1120000</f>
        <v>1120000</v>
      </c>
      <c r="C851" s="1" t="s">
        <v>6</v>
      </c>
      <c r="D851" s="5">
        <f>4.22036211</f>
        <v>4.2203621099999999</v>
      </c>
      <c r="E851" s="5">
        <f>6.36664959</f>
        <v>6.3666495899999997</v>
      </c>
      <c r="F851" s="1">
        <v>9</v>
      </c>
      <c r="G851" s="1">
        <v>9</v>
      </c>
      <c r="H851" s="5">
        <f t="shared" si="13"/>
        <v>577.19788043941946</v>
      </c>
    </row>
    <row r="852" spans="1:8" x14ac:dyDescent="0.2">
      <c r="A852" s="5">
        <f>577.8453</f>
        <v>577.84529999999995</v>
      </c>
      <c r="B852" s="3">
        <f>10600</f>
        <v>10600</v>
      </c>
      <c r="C852" s="1" t="s">
        <v>5</v>
      </c>
      <c r="D852" s="5">
        <f>2.58810592</f>
        <v>2.5881059199999998</v>
      </c>
      <c r="E852" s="5">
        <f>4.73314079</f>
        <v>4.7331407900000002</v>
      </c>
      <c r="F852" s="1">
        <v>7</v>
      </c>
      <c r="G852" s="1">
        <v>7</v>
      </c>
      <c r="H852" s="5">
        <f t="shared" si="13"/>
        <v>577.53493968592807</v>
      </c>
    </row>
    <row r="853" spans="1:8" x14ac:dyDescent="0.2">
      <c r="A853" s="5">
        <f>578.05997</f>
        <v>578.05997000000002</v>
      </c>
      <c r="B853" s="3">
        <f>76000</f>
        <v>76000</v>
      </c>
      <c r="C853" s="1" t="s">
        <v>10</v>
      </c>
      <c r="D853" s="5">
        <f>3.24096914</f>
        <v>3.2409691399999998</v>
      </c>
      <c r="E853" s="5">
        <f>5.38520741</f>
        <v>5.3852074099999996</v>
      </c>
      <c r="F853" s="1">
        <v>7</v>
      </c>
      <c r="G853" s="1">
        <v>7</v>
      </c>
      <c r="H853" s="5">
        <f t="shared" si="13"/>
        <v>577.74949808617271</v>
      </c>
    </row>
    <row r="854" spans="1:8" x14ac:dyDescent="0.2">
      <c r="A854" s="5">
        <f>578.4658</f>
        <v>578.46579999999994</v>
      </c>
      <c r="B854" s="3">
        <f>65000</f>
        <v>65000</v>
      </c>
      <c r="C854" s="1" t="s">
        <v>6</v>
      </c>
      <c r="D854" s="5">
        <f>3.3965088</f>
        <v>3.3965087999999999</v>
      </c>
      <c r="E854" s="5">
        <f>5.53924278</f>
        <v>5.5392427800000004</v>
      </c>
      <c r="F854" s="1">
        <v>7</v>
      </c>
      <c r="G854" s="1">
        <v>9</v>
      </c>
      <c r="H854" s="5">
        <f t="shared" si="13"/>
        <v>578.15510270185882</v>
      </c>
    </row>
    <row r="855" spans="1:8" x14ac:dyDescent="0.2">
      <c r="A855" s="5">
        <f>579.10176</f>
        <v>579.10176000000001</v>
      </c>
      <c r="B855" s="3">
        <f>129000</f>
        <v>129000</v>
      </c>
      <c r="C855" s="1" t="s">
        <v>15</v>
      </c>
      <c r="D855" s="5">
        <f>3.21118938</f>
        <v>3.21118938</v>
      </c>
      <c r="E855" s="5">
        <f>5.35157038</f>
        <v>5.3515703800000001</v>
      </c>
      <c r="F855" s="1">
        <v>9</v>
      </c>
      <c r="G855" s="1">
        <v>9</v>
      </c>
      <c r="H855" s="5">
        <f t="shared" si="13"/>
        <v>578.79068458824065</v>
      </c>
    </row>
    <row r="856" spans="1:8" x14ac:dyDescent="0.2">
      <c r="A856" s="5">
        <f>579.39144</f>
        <v>579.39143999999999</v>
      </c>
      <c r="B856" s="3">
        <f>610000</f>
        <v>610000</v>
      </c>
      <c r="C856" s="1" t="s">
        <v>10</v>
      </c>
      <c r="D856" s="5">
        <f>4.22036211</f>
        <v>4.2203621099999999</v>
      </c>
      <c r="E856" s="5">
        <f>6.35967275</f>
        <v>6.3596727499999997</v>
      </c>
      <c r="F856" s="1">
        <v>9</v>
      </c>
      <c r="G856" s="1">
        <v>7</v>
      </c>
      <c r="H856" s="5">
        <f t="shared" si="13"/>
        <v>579.08027058177163</v>
      </c>
    </row>
    <row r="857" spans="1:8" x14ac:dyDescent="0.2">
      <c r="A857" s="5">
        <f>579.8171</f>
        <v>579.81709999999998</v>
      </c>
      <c r="B857" s="3">
        <f>570000</f>
        <v>570000</v>
      </c>
      <c r="C857" s="1" t="s">
        <v>10</v>
      </c>
      <c r="D857" s="5">
        <f>3.92860683</f>
        <v>3.9286068300000001</v>
      </c>
      <c r="E857" s="5">
        <f>6.06634697</f>
        <v>6.0663469699999997</v>
      </c>
      <c r="F857" s="1">
        <v>5</v>
      </c>
      <c r="G857" s="1">
        <v>5</v>
      </c>
      <c r="H857" s="5">
        <f t="shared" si="13"/>
        <v>579.50569439635592</v>
      </c>
    </row>
    <row r="858" spans="1:8" x14ac:dyDescent="0.2">
      <c r="A858" s="5">
        <f>580.40346</f>
        <v>580.40346</v>
      </c>
      <c r="B858" s="3">
        <f>160000</f>
        <v>160000</v>
      </c>
      <c r="C858" s="1" t="s">
        <v>10</v>
      </c>
      <c r="D858" s="5">
        <f>3.88160368</f>
        <v>3.88160368</v>
      </c>
      <c r="E858" s="5">
        <f>6.01718438</f>
        <v>6.0171843799999998</v>
      </c>
      <c r="F858" s="1">
        <v>9</v>
      </c>
      <c r="G858" s="1">
        <v>7</v>
      </c>
      <c r="H858" s="5">
        <f t="shared" si="13"/>
        <v>580.09167448912763</v>
      </c>
    </row>
    <row r="859" spans="1:8" x14ac:dyDescent="0.2">
      <c r="A859" s="5">
        <f>580.44623</f>
        <v>580.44623000000001</v>
      </c>
      <c r="B859" s="3">
        <f>280000</f>
        <v>280000</v>
      </c>
      <c r="C859" s="1" t="s">
        <v>10</v>
      </c>
      <c r="D859" s="5">
        <f>4.28330826</f>
        <v>4.2833082600000001</v>
      </c>
      <c r="E859" s="5">
        <f>6.41873101</f>
        <v>6.4187310100000001</v>
      </c>
      <c r="F859" s="1">
        <v>5</v>
      </c>
      <c r="G859" s="1">
        <v>7</v>
      </c>
      <c r="H859" s="5">
        <f t="shared" si="13"/>
        <v>580.13458190874053</v>
      </c>
    </row>
    <row r="860" spans="1:8" x14ac:dyDescent="0.2">
      <c r="A860" s="5">
        <f>580.67245</f>
        <v>580.67245000000003</v>
      </c>
      <c r="B860" s="3">
        <f>2700000</f>
        <v>2700000</v>
      </c>
      <c r="C860" s="1" t="s">
        <v>12</v>
      </c>
      <c r="D860" s="5">
        <f>4.60759327</f>
        <v>4.6075932699999997</v>
      </c>
      <c r="E860" s="5">
        <f>6.74218434</f>
        <v>6.7421843399999997</v>
      </c>
      <c r="F860" s="1">
        <v>7</v>
      </c>
      <c r="G860" s="1">
        <v>7</v>
      </c>
      <c r="H860" s="5">
        <f t="shared" si="13"/>
        <v>580.36061411503192</v>
      </c>
    </row>
    <row r="861" spans="1:8" x14ac:dyDescent="0.2">
      <c r="A861" s="5">
        <f>580.92177</f>
        <v>580.92177000000004</v>
      </c>
      <c r="B861" s="3">
        <f>450000</f>
        <v>450000</v>
      </c>
      <c r="C861" s="1" t="s">
        <v>10</v>
      </c>
      <c r="D861" s="5">
        <f>3.88350907</f>
        <v>3.8835090700000001</v>
      </c>
      <c r="E861" s="5">
        <f>6.01718438</f>
        <v>6.0171843799999998</v>
      </c>
      <c r="F861" s="1">
        <v>7</v>
      </c>
      <c r="G861" s="1">
        <v>7</v>
      </c>
      <c r="H861" s="5">
        <f t="shared" si="13"/>
        <v>580.60970123409413</v>
      </c>
    </row>
    <row r="862" spans="1:8" x14ac:dyDescent="0.2">
      <c r="A862" s="5">
        <f>581.48071</f>
        <v>581.48071000000004</v>
      </c>
      <c r="B862" s="3">
        <f>460000</f>
        <v>460000</v>
      </c>
      <c r="C862" s="1" t="s">
        <v>10</v>
      </c>
      <c r="D862" s="5">
        <f>4.28330826</f>
        <v>4.2833082600000001</v>
      </c>
      <c r="E862" s="5">
        <f>6.41493251</f>
        <v>6.4149325099999999</v>
      </c>
      <c r="F862" s="1">
        <v>5</v>
      </c>
      <c r="G862" s="1">
        <v>5</v>
      </c>
      <c r="H862" s="5">
        <f t="shared" si="13"/>
        <v>581.16836692473498</v>
      </c>
    </row>
    <row r="863" spans="1:8" x14ac:dyDescent="0.2">
      <c r="A863" s="5">
        <f>581.5217</f>
        <v>581.52170000000001</v>
      </c>
      <c r="B863" s="3">
        <f>100000</f>
        <v>100000</v>
      </c>
      <c r="C863" s="1" t="s">
        <v>10</v>
      </c>
      <c r="D863" s="5">
        <f>4.15435379</f>
        <v>4.15435379</v>
      </c>
      <c r="E863" s="5">
        <f>6.28582776</f>
        <v>6.2858277600000001</v>
      </c>
      <c r="F863" s="1">
        <v>7</v>
      </c>
      <c r="G863" s="1">
        <v>5</v>
      </c>
      <c r="H863" s="5">
        <f t="shared" si="13"/>
        <v>581.20934231707406</v>
      </c>
    </row>
    <row r="864" spans="1:8" x14ac:dyDescent="0.2">
      <c r="A864" s="5">
        <f>581.63732</f>
        <v>581.63732000000005</v>
      </c>
      <c r="B864" s="3">
        <f>4490000</f>
        <v>4490000</v>
      </c>
      <c r="C864" s="1" t="s">
        <v>13</v>
      </c>
      <c r="D864" s="5">
        <f>4.54850612</f>
        <v>4.5485061199999999</v>
      </c>
      <c r="E864" s="5">
        <f>6.67955657</f>
        <v>6.6795565699999999</v>
      </c>
      <c r="F864" s="1">
        <v>9</v>
      </c>
      <c r="G864" s="1">
        <v>11</v>
      </c>
      <c r="H864" s="5">
        <f t="shared" si="13"/>
        <v>581.32485050725245</v>
      </c>
    </row>
    <row r="865" spans="1:8" x14ac:dyDescent="0.2">
      <c r="A865" s="5">
        <f>583.83714</f>
        <v>583.83713999999998</v>
      </c>
      <c r="B865" s="3">
        <f>200000</f>
        <v>200000</v>
      </c>
      <c r="C865" s="1" t="s">
        <v>10</v>
      </c>
      <c r="D865" s="5">
        <f>3.94332623</f>
        <v>3.9433262299999998</v>
      </c>
      <c r="E865" s="5">
        <f>6.06634697</f>
        <v>6.0663469699999997</v>
      </c>
      <c r="F865" s="1">
        <v>7</v>
      </c>
      <c r="G865" s="1">
        <v>5</v>
      </c>
      <c r="H865" s="5">
        <f t="shared" si="13"/>
        <v>583.523543095327</v>
      </c>
    </row>
    <row r="866" spans="1:8" x14ac:dyDescent="0.2">
      <c r="A866" s="5">
        <f>585.22184</f>
        <v>585.22184000000004</v>
      </c>
      <c r="B866" s="3">
        <f>1100000</f>
        <v>1100000</v>
      </c>
      <c r="C866" s="1" t="s">
        <v>10</v>
      </c>
      <c r="D866" s="5">
        <f>4.54850612</f>
        <v>4.5485061199999999</v>
      </c>
      <c r="E866" s="5">
        <f>6.66650376</f>
        <v>6.6665037600000003</v>
      </c>
      <c r="F866" s="1">
        <v>9</v>
      </c>
      <c r="G866" s="1">
        <v>9</v>
      </c>
      <c r="H866" s="5">
        <f t="shared" si="13"/>
        <v>584.90744317810606</v>
      </c>
    </row>
    <row r="867" spans="1:8" x14ac:dyDescent="0.2">
      <c r="A867" s="5">
        <f>585.50762</f>
        <v>585.50761999999997</v>
      </c>
      <c r="B867" s="3">
        <f>719000</f>
        <v>719000</v>
      </c>
      <c r="C867" s="1" t="s">
        <v>13</v>
      </c>
      <c r="D867" s="5">
        <f>4.60759327</f>
        <v>4.6075932699999997</v>
      </c>
      <c r="E867" s="5">
        <f>6.72455738</f>
        <v>6.7245573800000003</v>
      </c>
      <c r="F867" s="1">
        <v>7</v>
      </c>
      <c r="G867" s="1">
        <v>9</v>
      </c>
      <c r="H867" s="5">
        <f t="shared" si="13"/>
        <v>585.19300276170611</v>
      </c>
    </row>
    <row r="868" spans="1:8" x14ac:dyDescent="0.2">
      <c r="A868" s="5">
        <f>585.60876</f>
        <v>585.60875999999996</v>
      </c>
      <c r="B868" s="3">
        <f>1830000</f>
        <v>1830000</v>
      </c>
      <c r="C868" s="1" t="s">
        <v>5</v>
      </c>
      <c r="D868" s="5">
        <f>4.29441489</f>
        <v>4.2944148899999997</v>
      </c>
      <c r="E868" s="5">
        <f>6.411013</f>
        <v>6.4110129999999996</v>
      </c>
      <c r="F868" s="1">
        <v>5</v>
      </c>
      <c r="G868" s="1">
        <v>5</v>
      </c>
      <c r="H868" s="5">
        <f t="shared" si="13"/>
        <v>585.29419374264819</v>
      </c>
    </row>
    <row r="869" spans="1:8" x14ac:dyDescent="0.2">
      <c r="A869" s="5">
        <f>587.9487</f>
        <v>587.94870000000003</v>
      </c>
      <c r="B869" s="3">
        <f>210000</f>
        <v>210000</v>
      </c>
      <c r="C869" s="1" t="s">
        <v>10</v>
      </c>
      <c r="D869" s="5">
        <f>4.60695104</f>
        <v>4.6069510400000002</v>
      </c>
      <c r="E869" s="5">
        <f>6.71512541</f>
        <v>6.7151254099999997</v>
      </c>
      <c r="F869" s="1">
        <v>5</v>
      </c>
      <c r="G869" s="1">
        <v>7</v>
      </c>
      <c r="H869" s="5">
        <f t="shared" si="13"/>
        <v>587.63288364503899</v>
      </c>
    </row>
    <row r="870" spans="1:8" x14ac:dyDescent="0.2">
      <c r="A870" s="5">
        <f>588.38166</f>
        <v>588.38166000000001</v>
      </c>
      <c r="B870" s="3">
        <f>1900000</f>
        <v>1900000</v>
      </c>
      <c r="C870" s="1" t="s">
        <v>12</v>
      </c>
      <c r="D870" s="5">
        <f>3.95972364</f>
        <v>3.95972364</v>
      </c>
      <c r="E870" s="5">
        <f>6.06634697</f>
        <v>6.0663469699999997</v>
      </c>
      <c r="F870" s="1">
        <v>3</v>
      </c>
      <c r="G870" s="1">
        <v>5</v>
      </c>
      <c r="H870" s="5">
        <f t="shared" si="13"/>
        <v>588.06553911546359</v>
      </c>
    </row>
    <row r="871" spans="1:8" x14ac:dyDescent="0.2">
      <c r="A871" s="5">
        <f>590.56716</f>
        <v>590.56715999999994</v>
      </c>
      <c r="B871" s="3">
        <f>11000000</f>
        <v>11000000</v>
      </c>
      <c r="C871" s="1" t="s">
        <v>12</v>
      </c>
      <c r="D871" s="5">
        <f>4.65203107</f>
        <v>4.6520310699999996</v>
      </c>
      <c r="E871" s="5">
        <f>6.75085864</f>
        <v>6.7508586399999997</v>
      </c>
      <c r="F871" s="1">
        <v>5</v>
      </c>
      <c r="G871" s="1">
        <v>3</v>
      </c>
      <c r="H871" s="5">
        <f t="shared" si="13"/>
        <v>590.24981469519332</v>
      </c>
    </row>
    <row r="872" spans="1:8" x14ac:dyDescent="0.2">
      <c r="A872" s="5">
        <f>590.99732</f>
        <v>590.99731999999995</v>
      </c>
      <c r="B872" s="3">
        <f>44900</f>
        <v>44900</v>
      </c>
      <c r="C872" s="1" t="s">
        <v>6</v>
      </c>
      <c r="D872" s="5">
        <f>3.21118938</f>
        <v>3.21118938</v>
      </c>
      <c r="E872" s="5">
        <f>5.30848946</f>
        <v>5.3084894599999997</v>
      </c>
      <c r="F872" s="1">
        <v>9</v>
      </c>
      <c r="G872" s="1">
        <v>11</v>
      </c>
      <c r="H872" s="5">
        <f t="shared" si="13"/>
        <v>590.67970105148868</v>
      </c>
    </row>
    <row r="873" spans="1:8" x14ac:dyDescent="0.2">
      <c r="A873" s="5">
        <f>591.6247</f>
        <v>591.62469999999996</v>
      </c>
      <c r="B873" s="3">
        <f>21500</f>
        <v>21500</v>
      </c>
      <c r="C873" s="1" t="s">
        <v>13</v>
      </c>
      <c r="D873" s="5">
        <f>2.45343044</f>
        <v>2.45343044</v>
      </c>
      <c r="E873" s="5">
        <f>4.54850612</f>
        <v>4.5485061199999999</v>
      </c>
      <c r="F873" s="1">
        <v>9</v>
      </c>
      <c r="G873" s="1">
        <v>9</v>
      </c>
      <c r="H873" s="5">
        <f t="shared" si="13"/>
        <v>591.30684208489447</v>
      </c>
    </row>
    <row r="874" spans="1:8" x14ac:dyDescent="0.2">
      <c r="A874" s="5">
        <f>592.77887</f>
        <v>592.77886999999998</v>
      </c>
      <c r="B874" s="3">
        <f>5400000</f>
        <v>5400000</v>
      </c>
      <c r="C874" s="1" t="s">
        <v>10</v>
      </c>
      <c r="D874" s="5">
        <f>4.65203107</f>
        <v>4.6520310699999996</v>
      </c>
      <c r="E874" s="5">
        <f>6.74302768</f>
        <v>6.74302768</v>
      </c>
      <c r="F874" s="1">
        <v>5</v>
      </c>
      <c r="G874" s="1">
        <v>3</v>
      </c>
      <c r="H874" s="5">
        <f t="shared" si="13"/>
        <v>592.46035041140635</v>
      </c>
    </row>
    <row r="875" spans="1:8" x14ac:dyDescent="0.2">
      <c r="A875" s="5">
        <f>592.96768</f>
        <v>592.96767999999997</v>
      </c>
      <c r="B875" s="3">
        <f>1100000</f>
        <v>1100000</v>
      </c>
      <c r="C875" s="1" t="s">
        <v>10</v>
      </c>
      <c r="D875" s="5">
        <f>4.54850612</f>
        <v>4.5485061199999999</v>
      </c>
      <c r="E875" s="5">
        <f>6.63883718</f>
        <v>6.6388371800000003</v>
      </c>
      <c r="F875" s="1">
        <v>9</v>
      </c>
      <c r="G875" s="1">
        <v>7</v>
      </c>
      <c r="H875" s="5">
        <f t="shared" si="13"/>
        <v>592.64898655319348</v>
      </c>
    </row>
    <row r="876" spans="1:8" x14ac:dyDescent="0.2">
      <c r="A876" s="5">
        <f>593.46546</f>
        <v>593.46546000000001</v>
      </c>
      <c r="B876" s="3">
        <f>2000000</f>
        <v>2000000</v>
      </c>
      <c r="C876" s="1" t="s">
        <v>12</v>
      </c>
      <c r="D876" s="5">
        <f>3.92860683</f>
        <v>3.9286068300000001</v>
      </c>
      <c r="E876" s="5">
        <f>6.01718438</f>
        <v>6.0171843799999998</v>
      </c>
      <c r="F876" s="1">
        <v>5</v>
      </c>
      <c r="G876" s="1">
        <v>7</v>
      </c>
      <c r="H876" s="5">
        <f t="shared" si="13"/>
        <v>593.14655769888122</v>
      </c>
    </row>
    <row r="877" spans="1:8" x14ac:dyDescent="0.2">
      <c r="A877" s="5">
        <f>595.2718</f>
        <v>595.27179999999998</v>
      </c>
      <c r="B877" s="3">
        <f>1500000</f>
        <v>1500000</v>
      </c>
      <c r="C877" s="1" t="s">
        <v>12</v>
      </c>
      <c r="D877" s="5">
        <f>3.98410712</f>
        <v>3.98410712</v>
      </c>
      <c r="E877" s="5">
        <f>6.06634697</f>
        <v>6.0663469699999997</v>
      </c>
      <c r="F877" s="1">
        <v>5</v>
      </c>
      <c r="G877" s="1">
        <v>5</v>
      </c>
      <c r="H877" s="5">
        <f t="shared" si="13"/>
        <v>594.95191405046978</v>
      </c>
    </row>
    <row r="878" spans="1:8" x14ac:dyDescent="0.2">
      <c r="A878" s="5">
        <f>595.6694</f>
        <v>595.6694</v>
      </c>
      <c r="B878" s="3">
        <f>515</f>
        <v>515</v>
      </c>
      <c r="C878" s="1" t="s">
        <v>14</v>
      </c>
      <c r="D878" s="5">
        <f>0.85899575</f>
        <v>0.85899574999999995</v>
      </c>
      <c r="E878" s="5">
        <f>2.93984587</f>
        <v>2.9398458700000001</v>
      </c>
      <c r="F878" s="1">
        <v>11</v>
      </c>
      <c r="G878" s="1">
        <v>9</v>
      </c>
      <c r="H878" s="5">
        <f t="shared" si="13"/>
        <v>595.34926247819476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6975-E050-CA4C-A399-B38F341A44A1}">
  <dimension ref="A1:J20"/>
  <sheetViews>
    <sheetView workbookViewId="0">
      <selection activeCell="H1" sqref="H1:J20"/>
    </sheetView>
  </sheetViews>
  <sheetFormatPr baseColWidth="10" defaultColWidth="10.6640625" defaultRowHeight="18" x14ac:dyDescent="0.2"/>
  <cols>
    <col min="1" max="1" width="15" style="1" bestFit="1" customWidth="1"/>
    <col min="2" max="2" width="10.1640625" style="1" bestFit="1" customWidth="1"/>
    <col min="3" max="3" width="5" style="1" bestFit="1" customWidth="1"/>
    <col min="4" max="5" width="12" style="1" bestFit="1" customWidth="1"/>
    <col min="6" max="6" width="4.33203125" style="1" bestFit="1" customWidth="1"/>
    <col min="7" max="7" width="4.6640625" style="1" bestFit="1" customWidth="1"/>
    <col min="8" max="8" width="8" style="1" bestFit="1" customWidth="1"/>
    <col min="9" max="9" width="12" style="1" bestFit="1" customWidth="1"/>
    <col min="10" max="10" width="10.1640625" style="1" bestFit="1" customWidth="1"/>
    <col min="11" max="16384" width="10.6640625" style="1"/>
  </cols>
  <sheetData>
    <row r="1" spans="1:10" x14ac:dyDescent="0.2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I1" s="1" t="s">
        <v>16</v>
      </c>
      <c r="J1" s="3">
        <v>299790000</v>
      </c>
    </row>
    <row r="2" spans="1:10" x14ac:dyDescent="0.2">
      <c r="A2" s="5">
        <v>410.29360000000003</v>
      </c>
      <c r="B2" s="3">
        <v>60900</v>
      </c>
      <c r="C2" s="1" t="s">
        <v>10</v>
      </c>
      <c r="D2" s="4">
        <v>1.9086586000000001</v>
      </c>
      <c r="E2" s="4">
        <v>4.9296471000000004</v>
      </c>
      <c r="F2" s="1">
        <v>1</v>
      </c>
      <c r="G2" s="1">
        <v>3</v>
      </c>
      <c r="H2" s="5">
        <f>$J$2*$J$1/((E2-D2)*$J$3)*1000000000</f>
        <v>410.07524003142106</v>
      </c>
      <c r="I2" s="1" t="s">
        <v>17</v>
      </c>
      <c r="J2" s="3">
        <v>6.6200000000000001E-34</v>
      </c>
    </row>
    <row r="3" spans="1:10" x14ac:dyDescent="0.2">
      <c r="A3" s="5">
        <v>478.29910000000001</v>
      </c>
      <c r="B3" s="3">
        <v>1700000</v>
      </c>
      <c r="C3" s="1" t="s">
        <v>12</v>
      </c>
      <c r="D3" s="4">
        <v>4.9537952000000001</v>
      </c>
      <c r="E3" s="4">
        <v>7.5452605000000004</v>
      </c>
      <c r="F3" s="1">
        <v>5</v>
      </c>
      <c r="G3" s="1">
        <v>3</v>
      </c>
      <c r="H3" s="5">
        <f t="shared" ref="H3:H20" si="0">$J$2*$J$1/((E3-D3)*$J$3)*1000000000</f>
        <v>478.04328472762597</v>
      </c>
      <c r="I3" s="1" t="s">
        <v>18</v>
      </c>
      <c r="J3" s="3">
        <v>1.602E-19</v>
      </c>
    </row>
    <row r="4" spans="1:10" x14ac:dyDescent="0.2">
      <c r="A4" s="5">
        <v>479.22120000000001</v>
      </c>
      <c r="B4" s="3">
        <v>2200000</v>
      </c>
      <c r="C4" s="1" t="s">
        <v>12</v>
      </c>
      <c r="D4" s="4">
        <v>4.9296471000000004</v>
      </c>
      <c r="E4" s="4">
        <v>7.5161249999999997</v>
      </c>
      <c r="F4" s="1">
        <v>3</v>
      </c>
      <c r="G4" s="1">
        <v>1</v>
      </c>
      <c r="H4" s="5">
        <f t="shared" si="0"/>
        <v>478.96507612520611</v>
      </c>
    </row>
    <row r="5" spans="1:10" x14ac:dyDescent="0.2">
      <c r="A5" s="5">
        <v>479.23239999999998</v>
      </c>
      <c r="B5" s="3">
        <v>1700000</v>
      </c>
      <c r="C5" s="1" t="s">
        <v>12</v>
      </c>
      <c r="D5" s="4">
        <v>4.9537952000000001</v>
      </c>
      <c r="E5" s="4">
        <v>7.5402136999999998</v>
      </c>
      <c r="F5" s="1">
        <v>5</v>
      </c>
      <c r="G5" s="1">
        <v>5</v>
      </c>
      <c r="H5" s="5">
        <f t="shared" si="0"/>
        <v>478.9760760950569</v>
      </c>
    </row>
    <row r="6" spans="1:10" x14ac:dyDescent="0.2">
      <c r="A6" s="5">
        <v>494.76069999999999</v>
      </c>
      <c r="B6" s="3">
        <v>4200000</v>
      </c>
      <c r="C6" s="1" t="s">
        <v>12</v>
      </c>
      <c r="D6" s="4">
        <v>5.0823459</v>
      </c>
      <c r="E6" s="4">
        <v>7.5875893999999997</v>
      </c>
      <c r="F6" s="1">
        <v>3</v>
      </c>
      <c r="G6" s="1">
        <v>1</v>
      </c>
      <c r="H6" s="5">
        <f t="shared" si="0"/>
        <v>494.49587805323631</v>
      </c>
    </row>
    <row r="7" spans="1:10" x14ac:dyDescent="0.2">
      <c r="A7" s="5">
        <v>500.60610000000003</v>
      </c>
      <c r="B7" s="3">
        <v>2800000</v>
      </c>
      <c r="C7" s="1" t="s">
        <v>12</v>
      </c>
      <c r="D7" s="4">
        <v>5.0823459</v>
      </c>
      <c r="E7" s="4">
        <v>7.5583377</v>
      </c>
      <c r="F7" s="1">
        <v>3</v>
      </c>
      <c r="G7" s="1">
        <v>5</v>
      </c>
      <c r="H7" s="5">
        <f t="shared" si="0"/>
        <v>500.33791883707494</v>
      </c>
    </row>
    <row r="8" spans="1:10" x14ac:dyDescent="0.2">
      <c r="A8" s="5">
        <v>562.22209999999995</v>
      </c>
      <c r="B8" s="3">
        <v>1600000</v>
      </c>
      <c r="C8" s="1" t="s">
        <v>12</v>
      </c>
      <c r="D8" s="4">
        <v>4.9296471000000004</v>
      </c>
      <c r="E8" s="4">
        <v>7.1342885999999996</v>
      </c>
      <c r="F8" s="1">
        <v>3</v>
      </c>
      <c r="G8" s="1">
        <v>3</v>
      </c>
      <c r="H8" s="5">
        <f t="shared" si="0"/>
        <v>561.92019621769055</v>
      </c>
    </row>
    <row r="9" spans="1:10" x14ac:dyDescent="0.2">
      <c r="A9" s="5">
        <v>564.56110000000001</v>
      </c>
      <c r="B9" s="3">
        <v>970000</v>
      </c>
      <c r="C9" s="1" t="s">
        <v>12</v>
      </c>
      <c r="D9" s="4">
        <v>4.9296471000000004</v>
      </c>
      <c r="E9" s="4">
        <v>7.1251534999999997</v>
      </c>
      <c r="F9" s="1">
        <v>3</v>
      </c>
      <c r="G9" s="1">
        <v>5</v>
      </c>
      <c r="H9" s="5">
        <f t="shared" si="0"/>
        <v>564.25824323247855</v>
      </c>
    </row>
    <row r="10" spans="1:10" x14ac:dyDescent="0.2">
      <c r="A10" s="5">
        <v>566.55539999999996</v>
      </c>
      <c r="B10" s="3">
        <v>631000</v>
      </c>
      <c r="C10" s="1" t="s">
        <v>12</v>
      </c>
      <c r="D10" s="4">
        <v>4.9200851999999999</v>
      </c>
      <c r="E10" s="4">
        <v>7.1078640000000002</v>
      </c>
      <c r="F10" s="1">
        <v>1</v>
      </c>
      <c r="G10" s="1">
        <v>3</v>
      </c>
      <c r="H10" s="5">
        <f t="shared" si="0"/>
        <v>566.25129755789885</v>
      </c>
    </row>
    <row r="11" spans="1:10" x14ac:dyDescent="0.2">
      <c r="A11" s="5">
        <v>568.44839999999999</v>
      </c>
      <c r="B11" s="3">
        <v>2600000</v>
      </c>
      <c r="C11" s="1" t="s">
        <v>12</v>
      </c>
      <c r="D11" s="4">
        <v>4.9537952000000001</v>
      </c>
      <c r="E11" s="4">
        <v>7.1342885999999996</v>
      </c>
      <c r="F11" s="1">
        <v>5</v>
      </c>
      <c r="G11" s="1">
        <v>3</v>
      </c>
      <c r="H11" s="5">
        <f t="shared" si="0"/>
        <v>568.14323963083916</v>
      </c>
    </row>
    <row r="12" spans="1:10" x14ac:dyDescent="0.2">
      <c r="A12" s="5">
        <v>569.04250000000002</v>
      </c>
      <c r="B12" s="3">
        <v>926000</v>
      </c>
      <c r="C12" s="1" t="s">
        <v>15</v>
      </c>
      <c r="D12" s="4">
        <v>4.9296471000000004</v>
      </c>
      <c r="E12" s="4">
        <v>7.1078640000000002</v>
      </c>
      <c r="F12" s="1">
        <v>3</v>
      </c>
      <c r="G12" s="1">
        <v>3</v>
      </c>
      <c r="H12" s="5">
        <f t="shared" si="0"/>
        <v>568.73701800296521</v>
      </c>
    </row>
    <row r="13" spans="1:10" x14ac:dyDescent="0.2">
      <c r="A13" s="5">
        <v>570.1105</v>
      </c>
      <c r="B13" s="3">
        <v>1830000</v>
      </c>
      <c r="C13" s="1" t="s">
        <v>12</v>
      </c>
      <c r="D13" s="4">
        <v>4.9296471000000004</v>
      </c>
      <c r="E13" s="4">
        <v>7.1037838999999998</v>
      </c>
      <c r="F13" s="1">
        <v>3</v>
      </c>
      <c r="G13" s="1">
        <v>1</v>
      </c>
      <c r="H13" s="5">
        <f t="shared" si="0"/>
        <v>569.80433994294344</v>
      </c>
    </row>
    <row r="14" spans="1:10" x14ac:dyDescent="0.2">
      <c r="A14" s="5">
        <v>570.83969999999999</v>
      </c>
      <c r="B14" s="3">
        <v>1390000</v>
      </c>
      <c r="C14" s="1" t="s">
        <v>15</v>
      </c>
      <c r="D14" s="4">
        <v>4.9537952000000001</v>
      </c>
      <c r="E14" s="4">
        <v>7.1251534999999997</v>
      </c>
      <c r="F14" s="1">
        <v>5</v>
      </c>
      <c r="G14" s="1">
        <v>5</v>
      </c>
      <c r="H14" s="5">
        <f t="shared" si="0"/>
        <v>570.53346942771395</v>
      </c>
    </row>
    <row r="15" spans="1:10" x14ac:dyDescent="0.2">
      <c r="A15" s="5">
        <v>575.42200000000003</v>
      </c>
      <c r="B15" s="3">
        <v>1230000</v>
      </c>
      <c r="C15" s="1" t="s">
        <v>10</v>
      </c>
      <c r="D15" s="4">
        <v>4.9537952000000001</v>
      </c>
      <c r="E15" s="4">
        <v>7.1078640000000002</v>
      </c>
      <c r="F15" s="1">
        <v>5</v>
      </c>
      <c r="G15" s="1">
        <v>3</v>
      </c>
      <c r="H15" s="5">
        <f t="shared" si="0"/>
        <v>575.11282103415772</v>
      </c>
    </row>
    <row r="16" spans="1:10" x14ac:dyDescent="0.2">
      <c r="A16" s="5">
        <v>577.21450000000004</v>
      </c>
      <c r="B16" s="3">
        <v>3560000</v>
      </c>
      <c r="C16" s="1" t="s">
        <v>15</v>
      </c>
      <c r="D16" s="4">
        <v>5.0823459</v>
      </c>
      <c r="E16" s="4">
        <v>7.2297243</v>
      </c>
      <c r="F16" s="1">
        <v>3</v>
      </c>
      <c r="G16" s="1">
        <v>1</v>
      </c>
      <c r="H16" s="5">
        <f t="shared" si="0"/>
        <v>576.90465000004792</v>
      </c>
    </row>
    <row r="17" spans="1:8" x14ac:dyDescent="0.2">
      <c r="A17" s="5">
        <v>578.03840000000002</v>
      </c>
      <c r="B17" s="3">
        <v>297000</v>
      </c>
      <c r="C17" s="1" t="s">
        <v>12</v>
      </c>
      <c r="D17" s="4">
        <v>4.9200851999999999</v>
      </c>
      <c r="E17" s="4">
        <v>7.0644033999999998</v>
      </c>
      <c r="F17" s="1">
        <v>1</v>
      </c>
      <c r="G17" s="1">
        <v>3</v>
      </c>
      <c r="H17" s="5">
        <f t="shared" si="0"/>
        <v>577.72796232838152</v>
      </c>
    </row>
    <row r="18" spans="1:8" x14ac:dyDescent="0.2">
      <c r="A18" s="5">
        <v>579.30709999999999</v>
      </c>
      <c r="B18" s="3">
        <v>383000</v>
      </c>
      <c r="C18" s="1" t="s">
        <v>10</v>
      </c>
      <c r="D18" s="4">
        <v>4.9296471000000004</v>
      </c>
      <c r="E18" s="4">
        <v>7.0692684999999997</v>
      </c>
      <c r="F18" s="1">
        <v>3</v>
      </c>
      <c r="G18" s="1">
        <v>5</v>
      </c>
      <c r="H18" s="5">
        <f t="shared" si="0"/>
        <v>578.9961645876524</v>
      </c>
    </row>
    <row r="19" spans="1:8" x14ac:dyDescent="0.2">
      <c r="A19" s="5">
        <v>579.78589999999997</v>
      </c>
      <c r="B19" s="3">
        <v>253000</v>
      </c>
      <c r="C19" s="1" t="s">
        <v>12</v>
      </c>
      <c r="D19" s="4">
        <v>4.9537952000000001</v>
      </c>
      <c r="E19" s="4">
        <v>7.0916515000000002</v>
      </c>
      <c r="F19" s="1">
        <v>5</v>
      </c>
      <c r="G19" s="1">
        <v>7</v>
      </c>
      <c r="H19" s="5">
        <f t="shared" si="0"/>
        <v>579.47420706885816</v>
      </c>
    </row>
    <row r="20" spans="1:8" x14ac:dyDescent="0.2">
      <c r="A20" s="5">
        <v>594.85450000000003</v>
      </c>
      <c r="B20" s="3">
        <v>2220000</v>
      </c>
      <c r="C20" s="1" t="s">
        <v>5</v>
      </c>
      <c r="D20" s="4">
        <v>5.0823459</v>
      </c>
      <c r="E20" s="4">
        <v>7.1660475999999997</v>
      </c>
      <c r="F20" s="1">
        <v>3</v>
      </c>
      <c r="G20" s="1">
        <v>5</v>
      </c>
      <c r="H20" s="5">
        <f t="shared" si="0"/>
        <v>594.53451723423905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2642-0676-1045-86AE-98E8285D8333}">
  <dimension ref="A1:J64"/>
  <sheetViews>
    <sheetView workbookViewId="0">
      <selection activeCell="D27" sqref="D27"/>
    </sheetView>
  </sheetViews>
  <sheetFormatPr baseColWidth="10" defaultColWidth="10.6640625" defaultRowHeight="18" x14ac:dyDescent="0.2"/>
  <cols>
    <col min="1" max="1" width="15" style="1" bestFit="1" customWidth="1"/>
    <col min="2" max="2" width="10.1640625" style="1" bestFit="1" customWidth="1"/>
    <col min="3" max="3" width="5" style="1" bestFit="1" customWidth="1"/>
    <col min="4" max="4" width="6.83203125" style="1" bestFit="1" customWidth="1"/>
    <col min="5" max="5" width="8" style="1" bestFit="1" customWidth="1"/>
    <col min="6" max="6" width="4.33203125" style="1" bestFit="1" customWidth="1"/>
    <col min="7" max="7" width="4.6640625" style="1" bestFit="1" customWidth="1"/>
    <col min="8" max="8" width="8" style="1" bestFit="1" customWidth="1"/>
    <col min="9" max="9" width="12" style="1" bestFit="1" customWidth="1"/>
    <col min="10" max="10" width="10.1640625" style="1" bestFit="1" customWidth="1"/>
    <col min="11" max="16384" width="10.6640625" style="1"/>
  </cols>
  <sheetData>
    <row r="1" spans="1:10" x14ac:dyDescent="0.2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I1" s="1" t="s">
        <v>16</v>
      </c>
      <c r="J1" s="3">
        <v>299790000</v>
      </c>
    </row>
    <row r="2" spans="1:10" x14ac:dyDescent="0.2">
      <c r="A2" s="5">
        <v>426.90197000000001</v>
      </c>
      <c r="B2" s="3">
        <v>2100000</v>
      </c>
      <c r="C2" s="1" t="s">
        <v>10</v>
      </c>
      <c r="D2" s="4">
        <v>7.6847677699999997</v>
      </c>
      <c r="E2" s="4">
        <v>10.588229800000001</v>
      </c>
      <c r="F2" s="1">
        <v>3</v>
      </c>
      <c r="G2" s="1">
        <v>5</v>
      </c>
      <c r="H2" s="5">
        <f>$J$2*$J$1/((E2-D2)*$J$3)*1000000000</f>
        <v>426.67428451601364</v>
      </c>
      <c r="I2" s="1" t="s">
        <v>17</v>
      </c>
      <c r="J2" s="3">
        <v>6.6200000000000001E-34</v>
      </c>
    </row>
    <row r="3" spans="1:10" x14ac:dyDescent="0.2">
      <c r="A3" s="5">
        <v>437.13814000000002</v>
      </c>
      <c r="B3" s="3">
        <v>1270000</v>
      </c>
      <c r="C3" s="1" t="s">
        <v>13</v>
      </c>
      <c r="D3" s="4">
        <v>7.6847677699999997</v>
      </c>
      <c r="E3" s="4">
        <v>10.52024138</v>
      </c>
      <c r="F3" s="1">
        <v>3</v>
      </c>
      <c r="G3" s="1">
        <v>3</v>
      </c>
      <c r="H3" s="5">
        <f t="shared" ref="H3:H64" si="0">$J$2*$J$1/((E3-D3)*$J$3)*1000000000</f>
        <v>436.90499530682035</v>
      </c>
      <c r="I3" s="1" t="s">
        <v>18</v>
      </c>
      <c r="J3" s="3">
        <v>1.602E-19</v>
      </c>
    </row>
    <row r="4" spans="1:10" x14ac:dyDescent="0.2">
      <c r="A4" s="5">
        <v>467.666</v>
      </c>
      <c r="B4" s="3">
        <v>2700</v>
      </c>
      <c r="C4" s="1" t="s">
        <v>10</v>
      </c>
      <c r="D4" s="4">
        <v>7.48779869</v>
      </c>
      <c r="E4" s="4">
        <v>10.1381719</v>
      </c>
      <c r="F4" s="1">
        <v>5</v>
      </c>
      <c r="G4" s="1">
        <v>5</v>
      </c>
      <c r="H4" s="5">
        <f t="shared" si="0"/>
        <v>467.41816571171239</v>
      </c>
    </row>
    <row r="5" spans="1:10" x14ac:dyDescent="0.2">
      <c r="A5" s="5">
        <v>473.42619999999999</v>
      </c>
      <c r="B5" s="3">
        <v>260000</v>
      </c>
      <c r="C5" s="1" t="s">
        <v>5</v>
      </c>
      <c r="D5" s="4">
        <v>7.9457715569999996</v>
      </c>
      <c r="E5" s="4">
        <v>10.56390942</v>
      </c>
      <c r="F5" s="1">
        <v>7</v>
      </c>
      <c r="G5" s="1">
        <v>5</v>
      </c>
      <c r="H5" s="5">
        <f t="shared" si="0"/>
        <v>473.1731669966926</v>
      </c>
    </row>
    <row r="6" spans="1:10" x14ac:dyDescent="0.2">
      <c r="A6" s="5">
        <v>473.51650000000001</v>
      </c>
      <c r="B6" s="3">
        <v>46000</v>
      </c>
      <c r="C6" s="1" t="s">
        <v>5</v>
      </c>
      <c r="D6" s="4">
        <v>7.94627046</v>
      </c>
      <c r="E6" s="4">
        <v>10.56390942</v>
      </c>
      <c r="F6" s="1">
        <v>5</v>
      </c>
      <c r="G6" s="1">
        <v>5</v>
      </c>
      <c r="H6" s="5">
        <f t="shared" si="0"/>
        <v>473.2633503703899</v>
      </c>
    </row>
    <row r="7" spans="1:10" x14ac:dyDescent="0.2">
      <c r="A7" s="5">
        <v>473.82130000000001</v>
      </c>
      <c r="B7" s="3">
        <v>76000</v>
      </c>
      <c r="C7" s="1" t="s">
        <v>5</v>
      </c>
      <c r="D7" s="4">
        <v>7.9461347599999996</v>
      </c>
      <c r="E7" s="4">
        <v>10.562085789999999</v>
      </c>
      <c r="F7" s="1">
        <v>3</v>
      </c>
      <c r="G7" s="1">
        <v>3</v>
      </c>
      <c r="H7" s="5">
        <f t="shared" si="0"/>
        <v>473.56872130349592</v>
      </c>
    </row>
    <row r="8" spans="1:10" x14ac:dyDescent="0.2">
      <c r="A8" s="5">
        <v>473.84660000000002</v>
      </c>
      <c r="B8" s="3">
        <v>230000</v>
      </c>
      <c r="C8" s="1" t="s">
        <v>5</v>
      </c>
      <c r="D8" s="4">
        <v>7.94627046</v>
      </c>
      <c r="E8" s="4">
        <v>10.562085789999999</v>
      </c>
      <c r="F8" s="1">
        <v>5</v>
      </c>
      <c r="G8" s="1">
        <v>3</v>
      </c>
      <c r="H8" s="5">
        <f t="shared" si="0"/>
        <v>473.59328851003534</v>
      </c>
    </row>
    <row r="9" spans="1:10" x14ac:dyDescent="0.2">
      <c r="A9" s="5">
        <v>474.25700000000001</v>
      </c>
      <c r="B9" s="3">
        <v>300000</v>
      </c>
      <c r="C9" s="1" t="s">
        <v>5</v>
      </c>
      <c r="D9" s="4">
        <v>7.9461347599999996</v>
      </c>
      <c r="E9" s="4">
        <v>10.559692</v>
      </c>
      <c r="F9" s="1">
        <v>3</v>
      </c>
      <c r="G9" s="1">
        <v>1</v>
      </c>
      <c r="H9" s="5">
        <f t="shared" si="0"/>
        <v>474.00246886104651</v>
      </c>
    </row>
    <row r="10" spans="1:10" x14ac:dyDescent="0.2">
      <c r="A10" s="5">
        <v>476.23032999999998</v>
      </c>
      <c r="B10" s="3">
        <v>340000</v>
      </c>
      <c r="C10" s="1" t="s">
        <v>5</v>
      </c>
      <c r="D10" s="4">
        <v>7.4803941399999996</v>
      </c>
      <c r="E10" s="4">
        <v>10.08311546</v>
      </c>
      <c r="F10" s="1">
        <v>1</v>
      </c>
      <c r="G10" s="1">
        <v>3</v>
      </c>
      <c r="H10" s="5">
        <f t="shared" si="0"/>
        <v>475.97588522065149</v>
      </c>
    </row>
    <row r="11" spans="1:10" x14ac:dyDescent="0.2">
      <c r="A11" s="5">
        <v>476.25252</v>
      </c>
      <c r="B11" s="3">
        <v>270000</v>
      </c>
      <c r="C11" s="1" t="s">
        <v>5</v>
      </c>
      <c r="D11" s="4">
        <v>7.4827759800000004</v>
      </c>
      <c r="E11" s="4">
        <v>10.085377438</v>
      </c>
      <c r="F11" s="1">
        <v>3</v>
      </c>
      <c r="G11" s="1">
        <v>5</v>
      </c>
      <c r="H11" s="5">
        <f t="shared" si="0"/>
        <v>475.99780614188182</v>
      </c>
    </row>
    <row r="12" spans="1:10" x14ac:dyDescent="0.2">
      <c r="A12" s="5">
        <v>476.66698000000002</v>
      </c>
      <c r="B12" s="3">
        <v>240000</v>
      </c>
      <c r="C12" s="1" t="s">
        <v>5</v>
      </c>
      <c r="D12" s="4">
        <v>7.4827759800000004</v>
      </c>
      <c r="E12" s="4">
        <v>10.08311546</v>
      </c>
      <c r="F12" s="1">
        <v>3</v>
      </c>
      <c r="G12" s="1">
        <v>3</v>
      </c>
      <c r="H12" s="5">
        <f t="shared" si="0"/>
        <v>476.41186614205583</v>
      </c>
    </row>
    <row r="13" spans="1:10" x14ac:dyDescent="0.2">
      <c r="A13" s="5">
        <v>477.00239199999999</v>
      </c>
      <c r="B13" s="3">
        <v>1100000</v>
      </c>
      <c r="C13" s="1" t="s">
        <v>5</v>
      </c>
      <c r="D13" s="4">
        <v>7.4827759800000004</v>
      </c>
      <c r="E13" s="4">
        <v>10.081285899999999</v>
      </c>
      <c r="F13" s="1">
        <v>3</v>
      </c>
      <c r="G13" s="1">
        <v>1</v>
      </c>
      <c r="H13" s="5">
        <f t="shared" si="0"/>
        <v>476.74729841695716</v>
      </c>
    </row>
    <row r="14" spans="1:10" x14ac:dyDescent="0.2">
      <c r="A14" s="5">
        <v>477.17334599999998</v>
      </c>
      <c r="B14" s="3">
        <v>800000</v>
      </c>
      <c r="C14" s="1" t="s">
        <v>5</v>
      </c>
      <c r="D14" s="4">
        <v>7.48779869</v>
      </c>
      <c r="E14" s="4">
        <v>10.085377438</v>
      </c>
      <c r="F14" s="1">
        <v>5</v>
      </c>
      <c r="G14" s="1">
        <v>5</v>
      </c>
      <c r="H14" s="5">
        <f t="shared" si="0"/>
        <v>476.91820131478181</v>
      </c>
    </row>
    <row r="15" spans="1:10" x14ac:dyDescent="0.2">
      <c r="A15" s="5">
        <v>477.59070000000003</v>
      </c>
      <c r="B15" s="3">
        <v>480000</v>
      </c>
      <c r="C15" s="1" t="s">
        <v>5</v>
      </c>
      <c r="D15" s="4">
        <v>7.48779869</v>
      </c>
      <c r="E15" s="4">
        <v>10.08311546</v>
      </c>
      <c r="F15" s="1">
        <v>5</v>
      </c>
      <c r="G15" s="1">
        <v>3</v>
      </c>
      <c r="H15" s="5">
        <f t="shared" si="0"/>
        <v>477.33386482516465</v>
      </c>
    </row>
    <row r="16" spans="1:10" x14ac:dyDescent="0.2">
      <c r="A16" s="5">
        <v>481.29160000000002</v>
      </c>
      <c r="B16" s="3">
        <v>40000</v>
      </c>
      <c r="C16" s="1" t="s">
        <v>5</v>
      </c>
      <c r="D16" s="4">
        <v>7.4803941399999996</v>
      </c>
      <c r="E16" s="4">
        <v>10.055746371</v>
      </c>
      <c r="F16" s="1">
        <v>1</v>
      </c>
      <c r="G16" s="1">
        <v>3</v>
      </c>
      <c r="H16" s="5">
        <f t="shared" si="0"/>
        <v>481.03423266052761</v>
      </c>
    </row>
    <row r="17" spans="1:8" x14ac:dyDescent="0.2">
      <c r="A17" s="5">
        <v>481.7371</v>
      </c>
      <c r="B17" s="3">
        <v>88000</v>
      </c>
      <c r="C17" s="1" t="s">
        <v>5</v>
      </c>
      <c r="D17" s="4">
        <v>7.4827759800000004</v>
      </c>
      <c r="E17" s="4">
        <v>10.055746371</v>
      </c>
      <c r="F17" s="1">
        <v>3</v>
      </c>
      <c r="G17" s="1">
        <v>3</v>
      </c>
      <c r="H17" s="5">
        <f t="shared" si="0"/>
        <v>481.47953377270841</v>
      </c>
    </row>
    <row r="18" spans="1:8" x14ac:dyDescent="0.2">
      <c r="A18" s="5">
        <v>482.68040000000002</v>
      </c>
      <c r="B18" s="3">
        <v>63000</v>
      </c>
      <c r="C18" s="1" t="s">
        <v>5</v>
      </c>
      <c r="D18" s="4">
        <v>7.48779869</v>
      </c>
      <c r="E18" s="4">
        <v>10.055746371</v>
      </c>
      <c r="F18" s="1">
        <v>5</v>
      </c>
      <c r="G18" s="1">
        <v>3</v>
      </c>
      <c r="H18" s="5">
        <f t="shared" si="0"/>
        <v>482.42127105457297</v>
      </c>
    </row>
    <row r="19" spans="1:8" x14ac:dyDescent="0.2">
      <c r="A19" s="5">
        <v>493.20255300000002</v>
      </c>
      <c r="B19" s="3">
        <v>6000000</v>
      </c>
      <c r="C19" s="1" t="s">
        <v>13</v>
      </c>
      <c r="D19" s="4">
        <v>7.6847677699999997</v>
      </c>
      <c r="E19" s="4">
        <v>10.197926020000001</v>
      </c>
      <c r="F19" s="1">
        <v>3</v>
      </c>
      <c r="G19" s="1">
        <v>1</v>
      </c>
      <c r="H19" s="5">
        <f t="shared" si="0"/>
        <v>492.93855023640577</v>
      </c>
    </row>
    <row r="20" spans="1:8" x14ac:dyDescent="0.2">
      <c r="A20" s="5">
        <v>501.2</v>
      </c>
      <c r="B20" s="3">
        <v>82000</v>
      </c>
      <c r="C20" s="1" t="s">
        <v>5</v>
      </c>
      <c r="D20" s="4">
        <v>7.9461347599999996</v>
      </c>
      <c r="E20" s="4">
        <v>10.41917726</v>
      </c>
      <c r="F20" s="1">
        <v>3</v>
      </c>
      <c r="G20" s="1">
        <v>3</v>
      </c>
      <c r="H20" s="5">
        <f t="shared" si="0"/>
        <v>500.93461162501768</v>
      </c>
    </row>
    <row r="21" spans="1:8" x14ac:dyDescent="0.2">
      <c r="A21" s="5">
        <v>501.22800000000001</v>
      </c>
      <c r="B21" s="3">
        <v>44000</v>
      </c>
      <c r="C21" s="1" t="s">
        <v>5</v>
      </c>
      <c r="D21" s="4">
        <v>7.94627046</v>
      </c>
      <c r="E21" s="4">
        <v>10.419191319999999</v>
      </c>
      <c r="F21" s="1">
        <v>5</v>
      </c>
      <c r="G21" s="1">
        <v>5</v>
      </c>
      <c r="H21" s="5">
        <f t="shared" si="0"/>
        <v>500.95925199549788</v>
      </c>
    </row>
    <row r="22" spans="1:8" x14ac:dyDescent="0.2">
      <c r="A22" s="5">
        <v>501.709</v>
      </c>
      <c r="B22" s="3">
        <v>130000</v>
      </c>
      <c r="C22" s="1" t="s">
        <v>5</v>
      </c>
      <c r="D22" s="4">
        <v>7.9457715569999996</v>
      </c>
      <c r="E22" s="4">
        <v>10.416318591</v>
      </c>
      <c r="F22" s="1">
        <v>7</v>
      </c>
      <c r="G22" s="1">
        <v>7</v>
      </c>
      <c r="H22" s="5">
        <f t="shared" si="0"/>
        <v>501.44059887170033</v>
      </c>
    </row>
    <row r="23" spans="1:8" x14ac:dyDescent="0.2">
      <c r="A23" s="5">
        <v>501.77609999999999</v>
      </c>
      <c r="B23" s="3">
        <v>31000</v>
      </c>
      <c r="C23" s="1" t="s">
        <v>5</v>
      </c>
      <c r="D23" s="4">
        <v>7.9461347599999996</v>
      </c>
      <c r="E23" s="4">
        <v>10.416337909999999</v>
      </c>
      <c r="F23" s="1">
        <v>3</v>
      </c>
      <c r="G23" s="1">
        <v>5</v>
      </c>
      <c r="H23" s="5">
        <f t="shared" si="0"/>
        <v>501.51040584239524</v>
      </c>
    </row>
    <row r="24" spans="1:8" x14ac:dyDescent="0.2">
      <c r="A24" s="5">
        <v>501.80700000000002</v>
      </c>
      <c r="B24" s="3">
        <v>77000</v>
      </c>
      <c r="C24" s="1" t="s">
        <v>5</v>
      </c>
      <c r="D24" s="4">
        <v>7.94627046</v>
      </c>
      <c r="E24" s="4">
        <v>10.416337909999999</v>
      </c>
      <c r="F24" s="1">
        <v>5</v>
      </c>
      <c r="G24" s="1">
        <v>5</v>
      </c>
      <c r="H24" s="5">
        <f t="shared" si="0"/>
        <v>501.53795770624129</v>
      </c>
    </row>
    <row r="25" spans="1:8" x14ac:dyDescent="0.2">
      <c r="A25" s="5">
        <v>502.38499999999999</v>
      </c>
      <c r="B25" s="3">
        <v>180000</v>
      </c>
      <c r="C25" s="1" t="s">
        <v>5</v>
      </c>
      <c r="D25" s="4">
        <v>7.9457715569999996</v>
      </c>
      <c r="E25" s="4">
        <v>10.41299796</v>
      </c>
      <c r="F25" s="1">
        <v>7</v>
      </c>
      <c r="G25" s="1">
        <v>9</v>
      </c>
      <c r="H25" s="5">
        <f t="shared" si="0"/>
        <v>502.11548594134541</v>
      </c>
    </row>
    <row r="26" spans="1:8" x14ac:dyDescent="0.2">
      <c r="A26" s="5">
        <v>502.49160000000001</v>
      </c>
      <c r="B26" s="3">
        <v>71000</v>
      </c>
      <c r="C26" s="1" t="s">
        <v>5</v>
      </c>
      <c r="D26" s="4">
        <v>7.94627046</v>
      </c>
      <c r="E26" s="4">
        <v>10.412964430000001</v>
      </c>
      <c r="F26" s="1">
        <v>5</v>
      </c>
      <c r="G26" s="1">
        <v>7</v>
      </c>
      <c r="H26" s="5">
        <f t="shared" si="0"/>
        <v>502.22386698000588</v>
      </c>
    </row>
    <row r="27" spans="1:8" x14ac:dyDescent="0.2">
      <c r="A27" s="5">
        <v>503.90699999999998</v>
      </c>
      <c r="B27" s="3">
        <v>470000</v>
      </c>
      <c r="C27" s="1" t="s">
        <v>5</v>
      </c>
      <c r="D27" s="4">
        <v>7.9457715569999996</v>
      </c>
      <c r="E27" s="4">
        <v>10.405550385</v>
      </c>
      <c r="F27" s="1">
        <v>7</v>
      </c>
      <c r="G27" s="1">
        <v>9</v>
      </c>
      <c r="H27" s="5">
        <f t="shared" si="0"/>
        <v>503.63576195057112</v>
      </c>
    </row>
    <row r="28" spans="1:8" x14ac:dyDescent="0.2">
      <c r="A28" s="5">
        <v>504.01339999999999</v>
      </c>
      <c r="B28" s="3">
        <v>190000</v>
      </c>
      <c r="C28" s="1" t="s">
        <v>5</v>
      </c>
      <c r="D28" s="4">
        <v>7.94627046</v>
      </c>
      <c r="E28" s="4">
        <v>10.40552565</v>
      </c>
      <c r="F28" s="1">
        <v>5</v>
      </c>
      <c r="G28" s="1">
        <v>7</v>
      </c>
      <c r="H28" s="5">
        <f t="shared" si="0"/>
        <v>503.74299881813539</v>
      </c>
    </row>
    <row r="29" spans="1:8" x14ac:dyDescent="0.2">
      <c r="A29" s="5">
        <v>504.1481</v>
      </c>
      <c r="B29" s="3">
        <v>530000</v>
      </c>
      <c r="C29" s="1" t="s">
        <v>5</v>
      </c>
      <c r="D29" s="4">
        <v>7.9461347599999996</v>
      </c>
      <c r="E29" s="4">
        <v>10.404725880000001</v>
      </c>
      <c r="F29" s="1">
        <v>3</v>
      </c>
      <c r="G29" s="1">
        <v>5</v>
      </c>
      <c r="H29" s="5">
        <f t="shared" si="0"/>
        <v>503.87906073201077</v>
      </c>
    </row>
    <row r="30" spans="1:8" x14ac:dyDescent="0.2">
      <c r="A30" s="5">
        <v>504.18</v>
      </c>
      <c r="B30" s="3">
        <v>57000</v>
      </c>
      <c r="C30" s="1" t="s">
        <v>5</v>
      </c>
      <c r="D30" s="4">
        <v>7.94627046</v>
      </c>
      <c r="E30" s="4">
        <v>10.404725880000001</v>
      </c>
      <c r="F30" s="1">
        <v>5</v>
      </c>
      <c r="G30" s="1">
        <v>5</v>
      </c>
      <c r="H30" s="5">
        <f t="shared" si="0"/>
        <v>503.90687347491644</v>
      </c>
    </row>
    <row r="31" spans="1:8" x14ac:dyDescent="0.2">
      <c r="A31" s="5">
        <v>504.18</v>
      </c>
      <c r="B31" s="3">
        <v>330000</v>
      </c>
      <c r="C31" s="1" t="s">
        <v>5</v>
      </c>
      <c r="D31" s="4">
        <v>7.94627046</v>
      </c>
      <c r="E31" s="4">
        <v>10.404712177</v>
      </c>
      <c r="F31" s="1">
        <v>5</v>
      </c>
      <c r="G31" s="1">
        <v>7</v>
      </c>
      <c r="H31" s="5">
        <f t="shared" si="0"/>
        <v>503.90968217924319</v>
      </c>
    </row>
    <row r="32" spans="1:8" x14ac:dyDescent="0.2">
      <c r="A32" s="5">
        <v>505.21491900000001</v>
      </c>
      <c r="B32" s="3">
        <v>2600000</v>
      </c>
      <c r="C32" s="1" t="s">
        <v>13</v>
      </c>
      <c r="D32" s="4">
        <v>7.6847677699999997</v>
      </c>
      <c r="E32" s="4">
        <v>10.1381719</v>
      </c>
      <c r="F32" s="1">
        <v>3</v>
      </c>
      <c r="G32" s="1">
        <v>5</v>
      </c>
      <c r="H32" s="5">
        <f t="shared" si="0"/>
        <v>504.94436245595745</v>
      </c>
    </row>
    <row r="33" spans="1:8" x14ac:dyDescent="0.2">
      <c r="A33" s="5">
        <v>505.35149999999999</v>
      </c>
      <c r="B33" s="3">
        <v>770000</v>
      </c>
      <c r="C33" s="1" t="s">
        <v>5</v>
      </c>
      <c r="D33" s="4">
        <v>8.5370996199999993</v>
      </c>
      <c r="E33" s="4">
        <v>10.989834</v>
      </c>
      <c r="F33" s="1">
        <v>3</v>
      </c>
      <c r="G33" s="1">
        <v>3</v>
      </c>
      <c r="H33" s="5">
        <f t="shared" si="0"/>
        <v>505.08224387088444</v>
      </c>
    </row>
    <row r="34" spans="1:8" x14ac:dyDescent="0.2">
      <c r="A34" s="5">
        <v>526.89559999999994</v>
      </c>
      <c r="B34" s="3">
        <v>1300000</v>
      </c>
      <c r="C34" s="1" t="s">
        <v>5</v>
      </c>
      <c r="D34" s="4">
        <v>8.5370996199999993</v>
      </c>
      <c r="E34" s="4">
        <v>10.889554</v>
      </c>
      <c r="F34" s="1">
        <v>3</v>
      </c>
      <c r="G34" s="1">
        <v>3</v>
      </c>
      <c r="H34" s="5">
        <f t="shared" si="0"/>
        <v>526.61279844655792</v>
      </c>
    </row>
    <row r="35" spans="1:8" x14ac:dyDescent="0.2">
      <c r="A35" s="5">
        <v>529.69299999999998</v>
      </c>
      <c r="B35" s="3">
        <v>110000</v>
      </c>
      <c r="C35" s="1" t="s">
        <v>12</v>
      </c>
      <c r="D35" s="4">
        <v>8.6430236849999993</v>
      </c>
      <c r="E35" s="4">
        <v>10.983051</v>
      </c>
      <c r="F35" s="1">
        <v>5</v>
      </c>
      <c r="G35" s="1">
        <v>5</v>
      </c>
      <c r="H35" s="5">
        <f t="shared" si="0"/>
        <v>529.40945446598892</v>
      </c>
    </row>
    <row r="36" spans="1:8" x14ac:dyDescent="0.2">
      <c r="A36" s="5">
        <v>530.08450000000005</v>
      </c>
      <c r="B36" s="3">
        <v>190000</v>
      </c>
      <c r="C36" s="1" t="s">
        <v>12</v>
      </c>
      <c r="D36" s="4">
        <v>8.6403960400000006</v>
      </c>
      <c r="E36" s="4">
        <v>10.9786886</v>
      </c>
      <c r="F36" s="1">
        <v>3</v>
      </c>
      <c r="G36" s="1">
        <v>3</v>
      </c>
      <c r="H36" s="5">
        <f t="shared" si="0"/>
        <v>529.80221784979005</v>
      </c>
    </row>
    <row r="37" spans="1:8" x14ac:dyDescent="0.2">
      <c r="A37" s="5">
        <v>530.23519999999996</v>
      </c>
      <c r="B37" s="3">
        <v>800000</v>
      </c>
      <c r="C37" s="1" t="s">
        <v>12</v>
      </c>
      <c r="D37" s="4">
        <v>8.6403960400000006</v>
      </c>
      <c r="E37" s="4">
        <v>10.97803</v>
      </c>
      <c r="F37" s="1">
        <v>3</v>
      </c>
      <c r="G37" s="1">
        <v>1</v>
      </c>
      <c r="H37" s="5">
        <f t="shared" si="0"/>
        <v>529.95148319528312</v>
      </c>
    </row>
    <row r="38" spans="1:8" x14ac:dyDescent="0.2">
      <c r="A38" s="5">
        <v>530.63149999999996</v>
      </c>
      <c r="B38" s="3">
        <v>600000</v>
      </c>
      <c r="C38" s="1" t="s">
        <v>12</v>
      </c>
      <c r="D38" s="4">
        <v>8.6471603990000006</v>
      </c>
      <c r="E38" s="4">
        <v>10.983051</v>
      </c>
      <c r="F38" s="1">
        <v>7</v>
      </c>
      <c r="G38" s="1">
        <v>5</v>
      </c>
      <c r="H38" s="5">
        <f t="shared" si="0"/>
        <v>530.34700500927408</v>
      </c>
    </row>
    <row r="39" spans="1:8" x14ac:dyDescent="0.2">
      <c r="A39" s="5">
        <v>530.68370000000004</v>
      </c>
      <c r="B39" s="3">
        <v>600000</v>
      </c>
      <c r="C39" s="1" t="s">
        <v>12</v>
      </c>
      <c r="D39" s="4">
        <v>8.6430236849999993</v>
      </c>
      <c r="E39" s="4">
        <v>10.9786886</v>
      </c>
      <c r="F39" s="1">
        <v>5</v>
      </c>
      <c r="G39" s="1">
        <v>3</v>
      </c>
      <c r="H39" s="5">
        <f t="shared" si="0"/>
        <v>530.3982503284991</v>
      </c>
    </row>
    <row r="40" spans="1:8" x14ac:dyDescent="0.2">
      <c r="A40" s="5">
        <v>538.03308000000004</v>
      </c>
      <c r="B40" s="3">
        <v>1860000</v>
      </c>
      <c r="C40" s="1" t="s">
        <v>13</v>
      </c>
      <c r="D40" s="4">
        <v>7.6847677699999997</v>
      </c>
      <c r="E40" s="4">
        <v>9.9885247800000005</v>
      </c>
      <c r="F40" s="1">
        <v>3</v>
      </c>
      <c r="G40" s="1">
        <v>3</v>
      </c>
      <c r="H40" s="5">
        <f t="shared" si="0"/>
        <v>537.7444664920032</v>
      </c>
    </row>
    <row r="41" spans="1:8" x14ac:dyDescent="0.2">
      <c r="A41" s="5">
        <v>554.07560000000001</v>
      </c>
      <c r="B41" s="3">
        <v>180000</v>
      </c>
      <c r="C41" s="1" t="s">
        <v>12</v>
      </c>
      <c r="D41" s="4">
        <v>8.6430236849999993</v>
      </c>
      <c r="E41" s="4">
        <v>10.88008</v>
      </c>
      <c r="F41" s="1">
        <v>5</v>
      </c>
      <c r="G41" s="1">
        <v>5</v>
      </c>
      <c r="H41" s="5">
        <f t="shared" si="0"/>
        <v>553.77800548112839</v>
      </c>
    </row>
    <row r="42" spans="1:8" x14ac:dyDescent="0.2">
      <c r="A42" s="5">
        <v>554.50699999999995</v>
      </c>
      <c r="B42" s="3">
        <v>300000</v>
      </c>
      <c r="C42" s="1" t="s">
        <v>12</v>
      </c>
      <c r="D42" s="4">
        <v>8.6403960400000006</v>
      </c>
      <c r="E42" s="4">
        <v>10.8757182</v>
      </c>
      <c r="F42" s="1">
        <v>3</v>
      </c>
      <c r="G42" s="1">
        <v>3</v>
      </c>
      <c r="H42" s="5">
        <f t="shared" si="0"/>
        <v>554.20762449277709</v>
      </c>
    </row>
    <row r="43" spans="1:8" x14ac:dyDescent="0.2">
      <c r="A43" s="5">
        <v>554.72709999999995</v>
      </c>
      <c r="B43" s="3">
        <v>1200000</v>
      </c>
      <c r="C43" s="1" t="s">
        <v>12</v>
      </c>
      <c r="D43" s="4">
        <v>8.6403960400000006</v>
      </c>
      <c r="E43" s="4">
        <v>10.874826000000001</v>
      </c>
      <c r="F43" s="1">
        <v>3</v>
      </c>
      <c r="G43" s="1">
        <v>1</v>
      </c>
      <c r="H43" s="5">
        <f t="shared" si="0"/>
        <v>554.4289176420026</v>
      </c>
    </row>
    <row r="44" spans="1:8" x14ac:dyDescent="0.2">
      <c r="A44" s="5">
        <v>555.10320000000002</v>
      </c>
      <c r="B44" s="3">
        <v>1000000</v>
      </c>
      <c r="C44" s="1" t="s">
        <v>12</v>
      </c>
      <c r="D44" s="4">
        <v>8.6471603990000006</v>
      </c>
      <c r="E44" s="4">
        <v>10.88008</v>
      </c>
      <c r="F44" s="1">
        <v>7</v>
      </c>
      <c r="G44" s="1">
        <v>5</v>
      </c>
      <c r="H44" s="5">
        <f t="shared" si="0"/>
        <v>554.8039363866302</v>
      </c>
    </row>
    <row r="45" spans="1:8" x14ac:dyDescent="0.2">
      <c r="A45" s="5">
        <v>555.15890000000002</v>
      </c>
      <c r="B45" s="3">
        <v>900000</v>
      </c>
      <c r="C45" s="1" t="s">
        <v>12</v>
      </c>
      <c r="D45" s="4">
        <v>8.6430236849999993</v>
      </c>
      <c r="E45" s="4">
        <v>10.8757182</v>
      </c>
      <c r="F45" s="1">
        <v>5</v>
      </c>
      <c r="G45" s="1">
        <v>3</v>
      </c>
      <c r="H45" s="5">
        <f t="shared" si="0"/>
        <v>554.85986817576918</v>
      </c>
    </row>
    <row r="46" spans="1:8" x14ac:dyDescent="0.2">
      <c r="A46" s="5">
        <v>560.37329999999997</v>
      </c>
      <c r="B46" s="3">
        <v>160000</v>
      </c>
      <c r="C46" s="1" t="s">
        <v>12</v>
      </c>
      <c r="D46" s="4">
        <v>8.7711346960000007</v>
      </c>
      <c r="E46" s="4">
        <v>10.983051</v>
      </c>
      <c r="F46" s="1">
        <v>3</v>
      </c>
      <c r="G46" s="1">
        <v>5</v>
      </c>
      <c r="H46" s="5">
        <f t="shared" si="0"/>
        <v>560.0720886361637</v>
      </c>
    </row>
    <row r="47" spans="1:8" x14ac:dyDescent="0.2">
      <c r="A47" s="5">
        <v>561.48090000000002</v>
      </c>
      <c r="B47" s="3">
        <v>160000</v>
      </c>
      <c r="C47" s="1" t="s">
        <v>12</v>
      </c>
      <c r="D47" s="4">
        <v>8.7711346960000007</v>
      </c>
      <c r="E47" s="4">
        <v>10.9786886</v>
      </c>
      <c r="F47" s="1">
        <v>3</v>
      </c>
      <c r="G47" s="1">
        <v>3</v>
      </c>
      <c r="H47" s="5">
        <f t="shared" si="0"/>
        <v>561.17886046857029</v>
      </c>
    </row>
    <row r="48" spans="1:8" x14ac:dyDescent="0.2">
      <c r="A48" s="5">
        <v>561.649</v>
      </c>
      <c r="B48" s="3">
        <v>160000</v>
      </c>
      <c r="C48" s="1" t="s">
        <v>12</v>
      </c>
      <c r="D48" s="4">
        <v>8.7711346960000007</v>
      </c>
      <c r="E48" s="4">
        <v>10.97803</v>
      </c>
      <c r="F48" s="1">
        <v>3</v>
      </c>
      <c r="G48" s="1">
        <v>1</v>
      </c>
      <c r="H48" s="5">
        <f t="shared" si="0"/>
        <v>561.34633211837365</v>
      </c>
    </row>
    <row r="49" spans="1:8" x14ac:dyDescent="0.2">
      <c r="A49" s="5">
        <v>566.89509999999996</v>
      </c>
      <c r="B49" s="3">
        <v>2400000</v>
      </c>
      <c r="C49" s="1" t="s">
        <v>5</v>
      </c>
      <c r="D49" s="4">
        <v>8.5370996199999993</v>
      </c>
      <c r="E49" s="4">
        <v>10.723572000000001</v>
      </c>
      <c r="F49" s="1">
        <v>3</v>
      </c>
      <c r="G49" s="1">
        <v>3</v>
      </c>
      <c r="H49" s="5">
        <f t="shared" si="0"/>
        <v>566.58963342114669</v>
      </c>
    </row>
    <row r="50" spans="1:8" x14ac:dyDescent="0.2">
      <c r="A50" s="5">
        <v>579.3116</v>
      </c>
      <c r="B50" s="3">
        <v>340000</v>
      </c>
      <c r="C50" s="1" t="s">
        <v>13</v>
      </c>
      <c r="D50" s="4">
        <v>7.9457715569999996</v>
      </c>
      <c r="E50" s="4">
        <v>10.085377438</v>
      </c>
      <c r="F50" s="1">
        <v>7</v>
      </c>
      <c r="G50" s="1">
        <v>5</v>
      </c>
      <c r="H50" s="5">
        <f t="shared" si="0"/>
        <v>579.00036416550802</v>
      </c>
    </row>
    <row r="51" spans="1:8" x14ac:dyDescent="0.2">
      <c r="A51" s="5">
        <v>579.44590000000005</v>
      </c>
      <c r="B51" s="3">
        <v>64000</v>
      </c>
      <c r="C51" s="1" t="s">
        <v>6</v>
      </c>
      <c r="D51" s="4">
        <v>7.94627046</v>
      </c>
      <c r="E51" s="4">
        <v>10.085377438</v>
      </c>
      <c r="F51" s="1">
        <v>5</v>
      </c>
      <c r="G51" s="1">
        <v>5</v>
      </c>
      <c r="H51" s="5">
        <f t="shared" si="0"/>
        <v>579.13540417129298</v>
      </c>
    </row>
    <row r="52" spans="1:8" x14ac:dyDescent="0.2">
      <c r="A52" s="5">
        <v>580.02319999999997</v>
      </c>
      <c r="B52" s="3">
        <v>104000</v>
      </c>
      <c r="C52" s="1" t="s">
        <v>6</v>
      </c>
      <c r="D52" s="4">
        <v>7.9461347599999996</v>
      </c>
      <c r="E52" s="4">
        <v>10.08311546</v>
      </c>
      <c r="F52" s="1">
        <v>3</v>
      </c>
      <c r="G52" s="1">
        <v>3</v>
      </c>
      <c r="H52" s="5">
        <f t="shared" si="0"/>
        <v>579.71163907547816</v>
      </c>
    </row>
    <row r="53" spans="1:8" x14ac:dyDescent="0.2">
      <c r="A53" s="5">
        <v>580.05939999999998</v>
      </c>
      <c r="B53" s="3">
        <v>300000</v>
      </c>
      <c r="C53" s="1" t="s">
        <v>13</v>
      </c>
      <c r="D53" s="4">
        <v>7.94627046</v>
      </c>
      <c r="E53" s="4">
        <v>10.08311546</v>
      </c>
      <c r="F53" s="1">
        <v>5</v>
      </c>
      <c r="G53" s="1">
        <v>3</v>
      </c>
      <c r="H53" s="5">
        <f t="shared" si="0"/>
        <v>579.74845357041011</v>
      </c>
    </row>
    <row r="54" spans="1:8" x14ac:dyDescent="0.2">
      <c r="A54" s="5">
        <v>580.51919999999996</v>
      </c>
      <c r="B54" s="3">
        <v>410000</v>
      </c>
      <c r="C54" s="1" t="s">
        <v>6</v>
      </c>
      <c r="D54" s="4">
        <v>7.9461347599999996</v>
      </c>
      <c r="E54" s="4">
        <v>10.081285899999999</v>
      </c>
      <c r="F54" s="1">
        <v>3</v>
      </c>
      <c r="G54" s="1">
        <v>1</v>
      </c>
      <c r="H54" s="5">
        <f t="shared" si="0"/>
        <v>580.20838012884803</v>
      </c>
    </row>
    <row r="55" spans="1:8" x14ac:dyDescent="0.2">
      <c r="A55" s="5">
        <v>580.58000000000004</v>
      </c>
      <c r="B55" s="3">
        <v>90000</v>
      </c>
      <c r="C55" s="1" t="s">
        <v>12</v>
      </c>
      <c r="D55" s="4">
        <v>8.8481243809999999</v>
      </c>
      <c r="E55" s="4">
        <v>10.983051</v>
      </c>
      <c r="F55" s="1">
        <v>3</v>
      </c>
      <c r="G55" s="1">
        <v>5</v>
      </c>
      <c r="H55" s="5">
        <f t="shared" si="0"/>
        <v>580.26939813506669</v>
      </c>
    </row>
    <row r="56" spans="1:8" x14ac:dyDescent="0.2">
      <c r="A56" s="5">
        <v>581.351</v>
      </c>
      <c r="B56" s="3">
        <v>120000</v>
      </c>
      <c r="C56" s="1" t="s">
        <v>12</v>
      </c>
      <c r="D56" s="4">
        <v>8.8465878999999994</v>
      </c>
      <c r="E56" s="4">
        <v>10.9786886</v>
      </c>
      <c r="F56" s="1">
        <v>1</v>
      </c>
      <c r="G56" s="1">
        <v>3</v>
      </c>
      <c r="H56" s="5">
        <f t="shared" si="0"/>
        <v>581.03849610370776</v>
      </c>
    </row>
    <row r="57" spans="1:8" x14ac:dyDescent="0.2">
      <c r="A57" s="5">
        <v>581.77009999999996</v>
      </c>
      <c r="B57" s="3">
        <v>90000</v>
      </c>
      <c r="C57" s="1" t="s">
        <v>12</v>
      </c>
      <c r="D57" s="4">
        <v>8.8481243809999999</v>
      </c>
      <c r="E57" s="4">
        <v>10.9786886</v>
      </c>
      <c r="F57" s="1">
        <v>3</v>
      </c>
      <c r="G57" s="1">
        <v>3</v>
      </c>
      <c r="H57" s="5">
        <f t="shared" si="0"/>
        <v>581.45751872765436</v>
      </c>
    </row>
    <row r="58" spans="1:8" x14ac:dyDescent="0.2">
      <c r="A58" s="5">
        <v>581.94989999999996</v>
      </c>
      <c r="B58" s="3">
        <v>360000</v>
      </c>
      <c r="C58" s="1" t="s">
        <v>12</v>
      </c>
      <c r="D58" s="4">
        <v>8.8481243809999999</v>
      </c>
      <c r="E58" s="4">
        <v>10.97803</v>
      </c>
      <c r="F58" s="1">
        <v>3</v>
      </c>
      <c r="G58" s="1">
        <v>1</v>
      </c>
      <c r="H58" s="5">
        <f t="shared" si="0"/>
        <v>581.63731445119151</v>
      </c>
    </row>
    <row r="59" spans="1:8" x14ac:dyDescent="0.2">
      <c r="A59" s="5">
        <v>582.46429999999998</v>
      </c>
      <c r="B59" s="3">
        <v>150000</v>
      </c>
      <c r="C59" s="1" t="s">
        <v>12</v>
      </c>
      <c r="D59" s="4">
        <v>8.8506628289999991</v>
      </c>
      <c r="E59" s="4">
        <v>10.9786886</v>
      </c>
      <c r="F59" s="1">
        <v>5</v>
      </c>
      <c r="G59" s="1">
        <v>3</v>
      </c>
      <c r="H59" s="5">
        <f t="shared" si="0"/>
        <v>582.15111919791809</v>
      </c>
    </row>
    <row r="60" spans="1:8" x14ac:dyDescent="0.2">
      <c r="A60" s="5">
        <v>587.73099999999999</v>
      </c>
      <c r="B60" s="3">
        <v>280000</v>
      </c>
      <c r="C60" s="1" t="s">
        <v>12</v>
      </c>
      <c r="D60" s="4">
        <v>8.7711346960000007</v>
      </c>
      <c r="E60" s="4">
        <v>10.88008</v>
      </c>
      <c r="F60" s="1">
        <v>3</v>
      </c>
      <c r="G60" s="1">
        <v>5</v>
      </c>
      <c r="H60" s="5">
        <f t="shared" si="0"/>
        <v>587.41807192438387</v>
      </c>
    </row>
    <row r="61" spans="1:8" x14ac:dyDescent="0.2">
      <c r="A61" s="5">
        <v>588.95150000000001</v>
      </c>
      <c r="B61" s="3">
        <v>280000</v>
      </c>
      <c r="C61" s="1" t="s">
        <v>12</v>
      </c>
      <c r="D61" s="4">
        <v>8.7711346960000007</v>
      </c>
      <c r="E61" s="4">
        <v>10.8757182</v>
      </c>
      <c r="F61" s="1">
        <v>3</v>
      </c>
      <c r="G61" s="1">
        <v>3</v>
      </c>
      <c r="H61" s="5">
        <f t="shared" si="0"/>
        <v>588.63551002615077</v>
      </c>
    </row>
    <row r="62" spans="1:8" x14ac:dyDescent="0.2">
      <c r="A62" s="5">
        <v>589.20000000000005</v>
      </c>
      <c r="B62" s="3">
        <v>280000</v>
      </c>
      <c r="C62" s="1" t="s">
        <v>12</v>
      </c>
      <c r="D62" s="4">
        <v>8.7711346960000007</v>
      </c>
      <c r="E62" s="4">
        <v>10.874826000000001</v>
      </c>
      <c r="F62" s="1">
        <v>3</v>
      </c>
      <c r="G62" s="1">
        <v>1</v>
      </c>
      <c r="H62" s="5">
        <f t="shared" si="0"/>
        <v>588.88515720634609</v>
      </c>
    </row>
    <row r="63" spans="1:8" x14ac:dyDescent="0.2">
      <c r="A63" s="5">
        <v>596.93259999999998</v>
      </c>
      <c r="B63" s="3">
        <v>25000</v>
      </c>
      <c r="C63" s="1" t="s">
        <v>5</v>
      </c>
      <c r="D63" s="4">
        <v>7.9457715569999996</v>
      </c>
      <c r="E63" s="4">
        <v>10.022216175000001</v>
      </c>
      <c r="F63" s="1">
        <v>7</v>
      </c>
      <c r="G63" s="1">
        <v>7</v>
      </c>
      <c r="H63" s="5">
        <f t="shared" si="0"/>
        <v>596.61238904743209</v>
      </c>
    </row>
    <row r="64" spans="1:8" x14ac:dyDescent="0.2">
      <c r="A64" s="5">
        <v>599.60569999999996</v>
      </c>
      <c r="B64" s="3">
        <v>150000</v>
      </c>
      <c r="C64" s="1" t="s">
        <v>12</v>
      </c>
      <c r="D64" s="4">
        <v>8.6403960400000006</v>
      </c>
      <c r="E64" s="4">
        <v>10.70759</v>
      </c>
      <c r="F64" s="1">
        <v>3</v>
      </c>
      <c r="G64" s="1">
        <v>3</v>
      </c>
      <c r="H64" s="5">
        <f t="shared" si="0"/>
        <v>599.28221939544733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Cu-I</vt:lpstr>
      <vt:lpstr>Fe-I</vt:lpstr>
      <vt:lpstr>Si-I</vt:lpstr>
      <vt:lpstr>C-I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Yoshioka Enta</cp:lastModifiedBy>
  <dcterms:created xsi:type="dcterms:W3CDTF">2021-04-21T13:14:03Z</dcterms:created>
  <dcterms:modified xsi:type="dcterms:W3CDTF">2025-10-02T02:18:36Z</dcterms:modified>
</cp:coreProperties>
</file>